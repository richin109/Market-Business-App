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worksheets/sheet13.xml" ContentType="application/vnd.openxmlformats-officedocument.spreadsheetml.worksheet+xml"/>
  <Override PartName="/xl/tables/table14.xml" ContentType="application/vnd.openxmlformats-officedocument.spreadsheetml.table+xml"/>
  <Override PartName="/xl/worksheets/sheet14.xml" ContentType="application/vnd.openxmlformats-officedocument.spreadsheetml.worksheet+xml"/>
  <Override PartName="/xl/tables/table15.xml" ContentType="application/vnd.openxmlformats-officedocument.spreadsheetml.table+xml"/>
  <Override PartName="/xl/worksheets/sheet15.xml" ContentType="application/vnd.openxmlformats-officedocument.spreadsheetml.worksheet+xml"/>
  <Override PartName="/xl/tables/table16.xml" ContentType="application/vnd.openxmlformats-officedocument.spreadsheetml.table+xml"/>
  <Override PartName="/xl/worksheets/sheet16.xml" ContentType="application/vnd.openxmlformats-officedocument.spreadsheetml.worksheet+xml"/>
  <Override PartName="/xl/tables/table17.xml" ContentType="application/vnd.openxmlformats-officedocument.spreadsheetml.table+xml"/>
  <Override PartName="/xl/worksheets/sheet17.xml" ContentType="application/vnd.openxmlformats-officedocument.spreadsheetml.worksheet+xml"/>
  <Override PartName="/xl/tables/table18.xml" ContentType="application/vnd.openxmlformats-officedocument.spreadsheetml.table+xml"/>
  <Override PartName="/xl/worksheets/sheet18.xml" ContentType="application/vnd.openxmlformats-officedocument.spreadsheetml.worksheet+xml"/>
  <Override PartName="/xl/tables/table19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  <Override PartName="/xl/worksheets/sheet27.xml" ContentType="application/vnd.openxmlformats-officedocument.spreadsheetml.worksheet+xml"/>
  <Override PartName="/xl/tables/table26.xml" ContentType="application/vnd.openxmlformats-officedocument.spreadsheetml.table+xml"/>
  <Override PartName="/xl/worksheets/sheet28.xml" ContentType="application/vnd.openxmlformats-officedocument.spreadsheetml.worksheet+xml"/>
  <Override PartName="/xl/tables/table27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ables/table28.xml" ContentType="application/vnd.openxmlformats-officedocument.spreadsheetml.table+xml"/>
  <Override PartName="/xl/worksheets/sheet31.xml" ContentType="application/vnd.openxmlformats-officedocument.spreadsheetml.worksheet+xml"/>
  <Override PartName="/xl/drawings/drawing2.xml" ContentType="application/vnd.openxmlformats-officedocument.drawing+xml"/>
  <Override PartName="/xl/tables/table29.xml" ContentType="application/vnd.openxmlformats-officedocument.spreadsheetml.table+xml"/>
  <Override PartName="/xl/worksheets/sheet32.xml" ContentType="application/vnd.openxmlformats-officedocument.spreadsheetml.worksheet+xml"/>
  <Override PartName="/xl/drawings/drawing3.xml" ContentType="application/vnd.openxmlformats-officedocument.drawing+xml"/>
  <Override PartName="/xl/tables/table30.xml" ContentType="application/vnd.openxmlformats-officedocument.spreadsheetml.table+xml"/>
  <Override PartName="/xl/worksheets/sheet33.xml" ContentType="application/vnd.openxmlformats-officedocument.spreadsheetml.worksheet+xml"/>
  <Override PartName="/xl/tables/table31.xml" ContentType="application/vnd.openxmlformats-officedocument.spreadsheetml.table+xml"/>
  <Override PartName="/xl/worksheets/sheet34.xml" ContentType="application/vnd.openxmlformats-officedocument.spreadsheetml.worksheet+xml"/>
  <Override PartName="/xl/tables/table32.xml" ContentType="application/vnd.openxmlformats-officedocument.spreadsheetml.table+xml"/>
  <Override PartName="/xl/worksheets/sheet35.xml" ContentType="application/vnd.openxmlformats-officedocument.spreadsheetml.worksheet+xml"/>
  <Override PartName="/xl/tables/table33.xml" ContentType="application/vnd.openxmlformats-officedocument.spreadsheetml.table+xml"/>
  <Override PartName="/xl/worksheets/sheet36.xml" ContentType="application/vnd.openxmlformats-officedocument.spreadsheetml.worksheet+xml"/>
  <Override PartName="/xl/tables/table34.xml" ContentType="application/vnd.openxmlformats-officedocument.spreadsheetml.table+xml"/>
  <Override PartName="/xl/worksheets/sheet37.xml" ContentType="application/vnd.openxmlformats-officedocument.spreadsheetml.worksheet+xml"/>
  <Override PartName="/xl/tables/table35.xml" ContentType="application/vnd.openxmlformats-officedocument.spreadsheetml.table+xml"/>
  <Override PartName="/xl/worksheets/sheet38.xml" ContentType="application/vnd.openxmlformats-officedocument.spreadsheetml.worksheet+xml"/>
  <Override PartName="/xl/tables/table36.xml" ContentType="application/vnd.openxmlformats-officedocument.spreadsheetml.table+xml"/>
  <Override PartName="/xl/worksheets/sheet39.xml" ContentType="application/vnd.openxmlformats-officedocument.spreadsheetml.worksheet+xml"/>
  <Override PartName="/xl/tables/table37.xml" ContentType="application/vnd.openxmlformats-officedocument.spreadsheetml.table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ables/table38.xml" ContentType="application/vnd.openxmlformats-officedocument.spreadsheetml.table+xml"/>
  <Override PartName="/xl/worksheets/sheet42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esting_Dashboard" sheetId="1" state="visible" r:id="rId1"/>
    <sheet xmlns:r="http://schemas.openxmlformats.org/officeDocument/2006/relationships" name="START_HERE" sheetId="2" state="visible" r:id="rId2"/>
    <sheet xmlns:r="http://schemas.openxmlformats.org/officeDocument/2006/relationships" name="Weekly_Entry" sheetId="3" state="visible" r:id="rId3"/>
    <sheet xmlns:r="http://schemas.openxmlformats.org/officeDocument/2006/relationships" name="Product_Setup" sheetId="4" state="visible" r:id="rId4"/>
    <sheet xmlns:r="http://schemas.openxmlformats.org/officeDocument/2006/relationships" name="Operations_Dashboard" sheetId="5" state="visible" r:id="rId5"/>
    <sheet xmlns:r="http://schemas.openxmlformats.org/officeDocument/2006/relationships" name="Business_Dashboard" sheetId="6" state="visible" r:id="rId6"/>
    <sheet xmlns:r="http://schemas.openxmlformats.org/officeDocument/2006/relationships" name="TESTING" sheetId="7" state="visible" r:id="rId7"/>
    <sheet xmlns:r="http://schemas.openxmlformats.org/officeDocument/2006/relationships" name="Data_Dictionary" sheetId="8" state="visible" r:id="rId8"/>
    <sheet xmlns:r="http://schemas.openxmlformats.org/officeDocument/2006/relationships" name="Settings" sheetId="9" state="visible" r:id="rId9"/>
    <sheet xmlns:r="http://schemas.openxmlformats.org/officeDocument/2006/relationships" name="Market_Master" sheetId="10" state="visible" r:id="rId10"/>
    <sheet xmlns:r="http://schemas.openxmlformats.org/officeDocument/2006/relationships" name="Product_Setup_Data" sheetId="11" state="visible" r:id="rId11"/>
    <sheet xmlns:r="http://schemas.openxmlformats.org/officeDocument/2006/relationships" name="Recipe_Master" sheetId="12" state="visible" r:id="rId12"/>
    <sheet xmlns:r="http://schemas.openxmlformats.org/officeDocument/2006/relationships" name="Product_Recipe_Map" sheetId="13" state="visible" r:id="rId13"/>
    <sheet xmlns:r="http://schemas.openxmlformats.org/officeDocument/2006/relationships" name="Recipe_Ingredients" sheetId="14" state="visible" r:id="rId14"/>
    <sheet xmlns:r="http://schemas.openxmlformats.org/officeDocument/2006/relationships" name="Product_Costs" sheetId="15" state="visible" r:id="rId15"/>
    <sheet xmlns:r="http://schemas.openxmlformats.org/officeDocument/2006/relationships" name="Ingredient_Cost_History" sheetId="16" state="visible" r:id="rId16"/>
    <sheet xmlns:r="http://schemas.openxmlformats.org/officeDocument/2006/relationships" name="Business_Exceptions" sheetId="17" state="visible" r:id="rId17"/>
    <sheet xmlns:r="http://schemas.openxmlformats.org/officeDocument/2006/relationships" name="Inventory" sheetId="18" state="visible" r:id="rId18"/>
    <sheet xmlns:r="http://schemas.openxmlformats.org/officeDocument/2006/relationships" name="Ingredient_Purchases" sheetId="19" state="visible" r:id="rId19"/>
    <sheet xmlns:r="http://schemas.openxmlformats.org/officeDocument/2006/relationships" name="Expenses" sheetId="20" state="visible" r:id="rId20"/>
    <sheet xmlns:r="http://schemas.openxmlformats.org/officeDocument/2006/relationships" name="Market_Rankings" sheetId="21" state="visible" r:id="rId21"/>
    <sheet xmlns:r="http://schemas.openxmlformats.org/officeDocument/2006/relationships" name="Product_Rankings" sheetId="22" state="visible" r:id="rId22"/>
    <sheet xmlns:r="http://schemas.openxmlformats.org/officeDocument/2006/relationships" name="Error_Log" sheetId="23" state="visible" r:id="rId23"/>
    <sheet xmlns:r="http://schemas.openxmlformats.org/officeDocument/2006/relationships" name="Workbook_Version" sheetId="24" state="visible" r:id="rId24"/>
    <sheet xmlns:r="http://schemas.openxmlformats.org/officeDocument/2006/relationships" name="Square_Catalog" sheetId="25" state="visible" r:id="rId25"/>
    <sheet xmlns:r="http://schemas.openxmlformats.org/officeDocument/2006/relationships" name="Sales_Data" sheetId="26" state="visible" r:id="rId26"/>
    <sheet xmlns:r="http://schemas.openxmlformats.org/officeDocument/2006/relationships" name="Import_Log" sheetId="27" state="visible" r:id="rId27"/>
    <sheet xmlns:r="http://schemas.openxmlformats.org/officeDocument/2006/relationships" name="Ingredient_Usage" sheetId="28" state="visible" r:id="rId28"/>
    <sheet xmlns:r="http://schemas.openxmlformats.org/officeDocument/2006/relationships" name="Executive_Dashboard" sheetId="29" state="visible" r:id="rId29"/>
    <sheet xmlns:r="http://schemas.openxmlformats.org/officeDocument/2006/relationships" name="Data_Quality" sheetId="30" state="visible" r:id="rId30"/>
    <sheet xmlns:r="http://schemas.openxmlformats.org/officeDocument/2006/relationships" name="Forecasting" sheetId="31" state="visible" r:id="rId31"/>
    <sheet xmlns:r="http://schemas.openxmlformats.org/officeDocument/2006/relationships" name="Product_Scorecards" sheetId="32" state="visible" r:id="rId32"/>
    <sheet xmlns:r="http://schemas.openxmlformats.org/officeDocument/2006/relationships" name="Market_Opportunity" sheetId="33" state="visible" r:id="rId33"/>
    <sheet xmlns:r="http://schemas.openxmlformats.org/officeDocument/2006/relationships" name="Release_Certification" sheetId="34" state="visible" r:id="rId34"/>
    <sheet xmlns:r="http://schemas.openxmlformats.org/officeDocument/2006/relationships" name="Query_Architecture" sheetId="35" state="visible" r:id="rId35"/>
    <sheet xmlns:r="http://schemas.openxmlformats.org/officeDocument/2006/relationships" name="Reorder_Engine" sheetId="36" state="visible" r:id="rId36"/>
    <sheet xmlns:r="http://schemas.openxmlformats.org/officeDocument/2006/relationships" name="Inventory_Valuation" sheetId="37" state="visible" r:id="rId37"/>
    <sheet xmlns:r="http://schemas.openxmlformats.org/officeDocument/2006/relationships" name="Dashboard_Testing" sheetId="38" state="visible" r:id="rId38"/>
    <sheet xmlns:r="http://schemas.openxmlformats.org/officeDocument/2006/relationships" name="Test_Data" sheetId="39" state="visible" r:id="rId39"/>
    <sheet xmlns:r="http://schemas.openxmlformats.org/officeDocument/2006/relationships" name="Release_Readiness" sheetId="40" state="visible" r:id="rId40"/>
    <sheet xmlns:r="http://schemas.openxmlformats.org/officeDocument/2006/relationships" name="Regression_Tests" sheetId="41" state="visible" r:id="rId41"/>
    <sheet xmlns:r="http://schemas.openxmlformats.org/officeDocument/2006/relationships" name="Regression_Summary" sheetId="42" state="visible" r:id="rId42"/>
  </sheets>
  <definedNames>
    <definedName name="MileageRate">'Settings'!$B$4</definedName>
    <definedName name="MarketRankingMinimumVisits">'Settings'!$B$5</definedName>
    <definedName name="TestingMode">'Settings'!$B$7</definedName>
    <definedName name="WeeklyProfitGoal">'Settings'!$B$8</definedName>
    <definedName name="CurrentWeekStart">=TODAY()-WEEKDAY(TODAY(),2)+1</definedName>
    <definedName name="CurrentWeekEnd">=CurrentWeekStart+6</definedName>
    <definedName name="CurrentMonthStart">=EOMONTH(TODAY(),-1)+1</definedName>
    <definedName name="CurrentYearStart">=DATE(YEAR(TODAY()),1,1)</definedName>
    <definedName name="MissingImportCount">'Operations_Dashboard'!$B$5</definedName>
    <definedName name="ProductsRequiringAction">'Operations_Dashboard'!$E$5</definedName>
    <definedName name="InventoryIssueCount">'Operations_Dashboard'!$H$5</definedName>
    <definedName name="MarketMasterIssueCount">'Operations_Dashboard'!$K$4</definedName>
    <definedName name="fxWorkbookHealth">'Operations_Dashboard'!$B$4</definedName>
    <definedName name="fxWeeklyRevenue">'Business_Dashboard'!$B$4</definedName>
    <definedName name="fxWeeklyProfit">'Business_Dashboard'!$B$10</definedName>
    <definedName name="WorkbookVersion">'Workbook_Version'!$A$4</definedName>
  </definedNames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.00;[Red]($#,##0.00);-"/>
    <numFmt numFmtId="166" formatCode="m/d/yyyy"/>
    <numFmt numFmtId="167" formatCode="0.0"/>
    <numFmt numFmtId="168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0000FF"/>
    </font>
    <font>
      <color rgb="00000000"/>
    </font>
    <font>
      <b val="1"/>
      <sz val="14"/>
    </font>
    <font>
      <b val="1"/>
      <color rgb="00FFFFFF"/>
      <sz val="1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pivotButton="0" quotePrefix="0" xfId="0"/>
    <xf numFmtId="0" fontId="3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0" fillId="0" borderId="0" pivotButton="0" quotePrefix="0" xfId="0"/>
    <xf numFmtId="0" fontId="3" fillId="2" borderId="0" applyAlignment="1" pivotButton="0" quotePrefix="0" xfId="0">
      <alignment vertical="top" wrapText="1"/>
    </xf>
    <xf numFmtId="165" fontId="3" fillId="2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0" fillId="0" borderId="0" pivotButton="0" quotePrefix="0" xfId="0"/>
    <xf numFmtId="165" fontId="3" fillId="0" borderId="0" applyAlignment="1" pivotButton="0" quotePrefix="0" xfId="0">
      <alignment vertical="top" wrapText="1"/>
    </xf>
    <xf numFmtId="166" fontId="0" fillId="0" borderId="0" pivotButton="0" quotePrefix="0" xfId="0"/>
    <xf numFmtId="166" fontId="3" fillId="2" borderId="0" applyAlignment="1" pivotButton="0" quotePrefix="0" xfId="0">
      <alignment vertical="top" wrapText="1"/>
    </xf>
    <xf numFmtId="166" fontId="3" fillId="0" borderId="0" applyAlignment="1" pivotButton="0" quotePrefix="0" xfId="0">
      <alignment vertical="top" wrapText="1"/>
    </xf>
    <xf numFmtId="166" fontId="0" fillId="0" borderId="0" pivotButton="0" quotePrefix="0" xfId="0"/>
    <xf numFmtId="0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66" fontId="1" fillId="2" borderId="0" pivotButton="0" quotePrefix="0" xfId="0"/>
    <xf numFmtId="166" fontId="3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5" fontId="0" fillId="0" borderId="0" pivotButton="0" quotePrefix="0" xfId="0"/>
    <xf numFmtId="165" fontId="3" fillId="2" borderId="0" applyAlignment="1" pivotButton="0" quotePrefix="0" xfId="0">
      <alignment vertical="top" wrapText="1"/>
    </xf>
    <xf numFmtId="165" fontId="3" fillId="0" borderId="0" applyAlignment="1" pivotButton="0" quotePrefix="0" xfId="0">
      <alignment vertical="top" wrapText="1"/>
    </xf>
    <xf numFmtId="165" fontId="0" fillId="0" borderId="0" pivotButton="0" quotePrefix="0" xfId="0"/>
    <xf numFmtId="165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/>
    </xf>
    <xf numFmtId="167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8" fontId="0" fillId="0" borderId="0" pivotButton="0" quotePrefix="0" xfId="0"/>
    <xf numFmtId="0" fontId="6" fillId="2" borderId="0" pivotButton="0" quotePrefix="0" xfId="0"/>
  </cellXfs>
  <cellStyles count="1">
    <cellStyle name="Normal" xfId="0"/>
  </cellStyles>
  <dxfs count="5">
    <dxf>
      <fill>
        <patternFill>
          <bgColor rgb="00E2F0D9"/>
        </patternFill>
      </fill>
    </dxf>
    <dxf>
      <fill>
        <patternFill>
          <bgColor rgb="00FCE4D6"/>
        </patternFill>
      </fill>
    </dxf>
    <dxf>
      <fill>
        <patternFill>
          <bgColor rgb="00F4CCCC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Regression 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'Testing_Dashboard'!F3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'Testing_Dashboard'!$D$4:$D$8</f>
            </numRef>
          </cat>
          <val>
            <numRef>
              <f>'Testing_Dashboard'!$F$4:$F$8</f>
            </numRef>
          </val>
        </ser>
        <ser>
          <idx val="1"/>
          <order val="1"/>
          <tx>
            <strRef>
              <f>'Testing_Dashboard'!G3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'Testing_Dashboard'!$D$4:$D$8</f>
            </numRef>
          </cat>
          <val>
            <numRef>
              <f>'Testing_Dashboard'!$G$4:$G$8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 vs Fail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'Testing_Dashboard'!$A$4:$A$5</f>
            </numRef>
          </cat>
          <val>
            <numRef>
              <f>'Testing_Dashboard'!$B$3:$B$5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Forecast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'Forecasting'!C3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'Forecasting'!$A$4:$A$5</f>
            </numRef>
          </cat>
          <val>
            <numRef>
              <f>'Forecasting'!$C$4:$C$5</f>
            </numRef>
          </val>
        </ser>
        <ser>
          <idx val="1"/>
          <order val="1"/>
          <tx>
            <strRef>
              <f>'Forecasting'!D3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'Forecasting'!$A$4:$A$5</f>
            </numRef>
          </cat>
          <val>
            <numRef>
              <f>'Forecasting'!$D$4:$D$5</f>
            </numRef>
          </val>
        </ser>
        <ser>
          <idx val="2"/>
          <order val="2"/>
          <tx>
            <strRef>
              <f>'Forecasting'!E3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'Forecasting'!$A$4:$A$5</f>
            </numRef>
          </cat>
          <val>
            <numRef>
              <f>'Forecasting'!$E$4:$E$5</f>
            </numRef>
          </val>
        </ser>
        <ser>
          <idx val="3"/>
          <order val="3"/>
          <tx>
            <strRef>
              <f>'Forecasting'!F3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'Forecasting'!$A$4:$A$5</f>
            </numRef>
          </cat>
          <val>
            <numRef>
              <f>'Forecasting'!$F$4:$F$5</f>
            </numRef>
          </val>
        </ser>
        <ser>
          <idx val="4"/>
          <order val="4"/>
          <tx>
            <strRef>
              <f>'Forecasting'!G3</f>
            </strRef>
          </tx>
          <spPr>
            <a:ln xmlns:a="http://schemas.openxmlformats.org/drawingml/2006/main">
              <a:prstDash val="solid"/>
            </a:ln>
          </spPr>
          <cat>
            <numRef>
              <f>'Forecasting'!$A$4:$A$5</f>
            </numRef>
          </cat>
          <val>
            <numRef>
              <f>'Forecasting'!$G$4:$G$5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Product Revenue and Profit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'Product_Scorecards'!C3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'Product_Scorecards'!$B$4</f>
            </numRef>
          </cat>
          <val>
            <numRef>
              <f>'Product_Scorecards'!$C$4</f>
            </numRef>
          </val>
        </ser>
        <ser>
          <idx val="1"/>
          <order val="1"/>
          <tx>
            <strRef>
              <f>'Product_Scorecards'!D3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'Product_Scorecards'!$B$4</f>
            </numRef>
          </cat>
          <val>
            <numRef>
              <f>'Product_Scorecards'!$D$4</f>
            </numRef>
          </val>
        </ser>
        <ser>
          <idx val="2"/>
          <order val="2"/>
          <tx>
            <strRef>
              <f>'Product_Scorecards'!E3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'Product_Scorecards'!$B$4</f>
            </numRef>
          </cat>
          <val>
            <numRef>
              <f>'Product_Scorecards'!$E$4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Tests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'Regression_Summary'!E3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'Regression_Summary'!$D$4:$D$8</f>
            </numRef>
          </cat>
          <val>
            <numRef>
              <f>'Regression_Summary'!$E$4:$E$8</f>
            </numRef>
          </val>
        </ser>
        <ser>
          <idx val="1"/>
          <order val="1"/>
          <tx>
            <strRef>
              <f>'Regression_Summary'!F3</f>
            </strRef>
          </tx>
          <spPr>
            <a:ln xmlns:a="http://schemas.openxmlformats.org/drawingml/2006/main">
              <a:prstDash val="solid"/>
            </a:ln>
          </spPr>
          <cat>
            <numRef>
              <f>'Regression_Summary'!$D$4:$D$8</f>
            </numRef>
          </cat>
          <val>
            <numRef>
              <f>'Regression_Summary'!$F$4:$F$8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7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StartSteps" displayName="tblStartSteps" ref="A6:B11" headerRowCount="1">
  <autoFilter ref="A6:B11"/>
  <tableColumns count="2">
    <tableColumn id="1" name="Step"/>
    <tableColumn id="2" name="Action"/>
  </tableColumns>
  <tableStyleInfo name="TableStyleMedium2" showRowStripes="1"/>
</table>
</file>

<file path=xl/tables/table2.xml><?xml version="1.0" encoding="utf-8"?>
<table xmlns="http://schemas.openxmlformats.org/spreadsheetml/2006/main" id="2" name="tblRefreshSequence" displayName="tblRefreshSequence" ref="A19:B25" headerRowCount="1">
  <autoFilter ref="A19:B25"/>
  <tableColumns count="2">
    <tableColumn id="1" name="Order"/>
    <tableColumn id="2" name="Refresh Step"/>
  </tableColumns>
  <tableStyleInfo name="TableStyleMedium2" showRowStripes="1"/>
</table>
</file>

<file path=xl/tables/table3.xml><?xml version="1.0" encoding="utf-8"?>
<table xmlns="http://schemas.openxmlformats.org/spreadsheetml/2006/main" id="3" name="tblWeeklyMarkets" displayName="tblWeeklyMarkets" ref="A4:O6" headerRowCount="1">
  <autoFilter ref="A4:O6"/>
  <tableColumns count="15">
    <tableColumn id="1" name="Test Key"/>
    <tableColumn id="2" name="Market Date"/>
    <tableColumn id="3" name="Market"/>
    <tableColumn id="4" name="Market Status"/>
    <tableColumn id="5" name="Market Day Score"/>
    <tableColumn id="6" name="Notes"/>
    <tableColumn id="7" name="Override Miles"/>
    <tableColumn id="8" name="Attendance Category"/>
    <tableColumn id="9" name="Market Match Count"/>
    <tableColumn id="10" name="Market Fee"/>
    <tableColumn id="11" name="Actual Miles"/>
    <tableColumn id="12" name="Travel Cost"/>
    <tableColumn id="13" name="Imported Sales Rows"/>
    <tableColumn id="14" name="Import Status"/>
    <tableColumn id="15" name="Test Record"/>
  </tableColumns>
  <tableStyleInfo name="TableStyleMedium2" showRowStripes="1"/>
</table>
</file>

<file path=xl/tables/table4.xml><?xml version="1.0" encoding="utf-8"?>
<table xmlns="http://schemas.openxmlformats.org/spreadsheetml/2006/main" id="4" name="tblWeeklyProduction" displayName="tblWeeklyProduction" ref="A11:G12" headerRowCount="1">
  <autoFilter ref="A11:G12"/>
  <tableColumns count="7">
    <tableColumn id="1" name="Week Start"/>
    <tableColumn id="2" name="Variation ID"/>
    <tableColumn id="3" name="Product Name"/>
    <tableColumn id="4" name="Quantity Made"/>
    <tableColumn id="5" name="Samples Given"/>
    <tableColumn id="6" name="Notes"/>
    <tableColumn id="7" name="Test Record"/>
  </tableColumns>
  <tableStyleInfo name="TableStyleMedium2" showRowStripes="1"/>
</table>
</file>

<file path=xl/tables/table5.xml><?xml version="1.0" encoding="utf-8"?>
<table xmlns="http://schemas.openxmlformats.org/spreadsheetml/2006/main" id="5" name="tblIngredientPurchases" displayName="tblIngredientPurchases" ref="A16:K17" headerRowCount="1">
  <autoFilter ref="A16:K17"/>
  <tableColumns count="11">
    <tableColumn id="1" name="Purchase Date"/>
    <tableColumn id="2" name="Purchase Type"/>
    <tableColumn id="3" name="Store"/>
    <tableColumn id="4" name="Receipt ID"/>
    <tableColumn id="5" name="Ingredient"/>
    <tableColumn id="6" name="Quantity"/>
    <tableColumn id="7" name="Unit"/>
    <tableColumn id="8" name="Total Cost"/>
    <tableColumn id="9" name="Notes"/>
    <tableColumn id="10" name="Validation"/>
    <tableColumn id="11" name="Test Record"/>
  </tableColumns>
  <tableStyleInfo name="TableStyleMedium2" showRowStripes="1"/>
</table>
</file>

<file path=xl/tables/table6.xml><?xml version="1.0" encoding="utf-8"?>
<table xmlns="http://schemas.openxmlformats.org/spreadsheetml/2006/main" id="6" name="tblExpenses" displayName="tblExpenses" ref="A21:E22" headerRowCount="1">
  <autoFilter ref="A21:E22"/>
  <tableColumns count="5">
    <tableColumn id="1" name="Date"/>
    <tableColumn id="2" name="Category"/>
    <tableColumn id="3" name="Amount"/>
    <tableColumn id="4" name="Description"/>
    <tableColumn id="5" name="Test Record"/>
  </tableColumns>
  <tableStyleInfo name="TableStyleMedium2" showRowStripes="1"/>
</table>
</file>

<file path=xl/tables/table7.xml><?xml version="1.0" encoding="utf-8"?>
<table xmlns="http://schemas.openxmlformats.org/spreadsheetml/2006/main" id="7" name="tblProductMaster" displayName="tblProductMaster" ref="A3:N7" headerRowCount="1">
  <autoFilter ref="A3:N7"/>
  <tableColumns count="14">
    <tableColumn id="1" name="Variation ID"/>
    <tableColumn id="2" name="Item ID"/>
    <tableColumn id="3" name="Product Name"/>
    <tableColumn id="4" name="Variation Name"/>
    <tableColumn id="5" name="Shelf Stable"/>
    <tableColumn id="6" name="Spoils If Unsold"/>
    <tableColumn id="7" name="Product Group"/>
    <tableColumn id="8" name="Product Active"/>
    <tableColumn id="9" name="Recipe Complete"/>
    <tableColumn id="10" name="Cost Complete"/>
    <tableColumn id="11" name="Product Status"/>
    <tableColumn id="12" name="Missing Items"/>
    <tableColumn id="13" name="Effective Product Cost"/>
    <tableColumn id="14" name="Test Record"/>
  </tableColumns>
  <tableStyleInfo name="TableStyleMedium2" showRowStripes="1"/>
</table>
</file>

<file path=xl/tables/table8.xml><?xml version="1.0" encoding="utf-8"?>
<table xmlns="http://schemas.openxmlformats.org/spreadsheetml/2006/main" id="8" name="tblTesting" displayName="tblTesting" ref="A3:H13" headerRowCount="1">
  <autoFilter ref="A3:H13"/>
  <tableColumns count="8">
    <tableColumn id="1" name="Test ID"/>
    <tableColumn id="2" name="Test Area"/>
    <tableColumn id="3" name="Test Key"/>
    <tableColumn id="4" name="Test Date"/>
    <tableColumn id="5" name="Expected Result"/>
    <tableColumn id="6" name="Actual Result"/>
    <tableColumn id="7" name="Status"/>
    <tableColumn id="8" name="Notes"/>
  </tableColumns>
  <tableStyleInfo name="TableStyleMedium2" showRowStripes="1"/>
</table>
</file>

<file path=xl/tables/table9.xml><?xml version="1.0" encoding="utf-8"?>
<table xmlns="http://schemas.openxmlformats.org/spreadsheetml/2006/main" id="9" name="tblDataDictionary" displayName="tblDataDictionary" ref="A3:F49" headerRowCount="1">
  <autoFilter ref="A3:F49"/>
  <tableColumns count="6">
    <tableColumn id="1" name="Table"/>
    <tableColumn id="2" name="Column"/>
    <tableColumn id="3" name="Data Type"/>
    <tableColumn id="4" name="Required"/>
    <tableColumn id="5" name="Formula"/>
    <tableColumn id="6" name="Description"/>
  </tableColumns>
  <tableStyleInfo name="TableStyleMedium2" showRowStripes="1"/>
</table>
</file>

<file path=xl/tables/table10.xml><?xml version="1.0" encoding="utf-8"?>
<table xmlns="http://schemas.openxmlformats.org/spreadsheetml/2006/main" id="10" name="tblSettings" displayName="tblSettings" ref="A3:B9" headerRowCount="1">
  <autoFilter ref="A3:B9"/>
  <tableColumns count="2">
    <tableColumn id="1" name="Setting"/>
    <tableColumn id="2" name="Value"/>
  </tableColumns>
  <tableStyleInfo name="TableStyleMedium2" showRowStripes="1"/>
</table>
</file>

<file path=xl/tables/table11.xml><?xml version="1.0" encoding="utf-8"?>
<table xmlns="http://schemas.openxmlformats.org/spreadsheetml/2006/main" id="11" name="tblMarketMaster" displayName="tblMarketMaster" ref="A3:L5" headerRowCount="1">
  <autoFilter ref="A3:L5"/>
  <tableColumns count="12">
    <tableColumn id="1" name="Market"/>
    <tableColumn id="2" name="Start Date"/>
    <tableColumn id="3" name="End Date"/>
    <tableColumn id="4" name="Market Fee"/>
    <tableColumn id="5" name="Default Round Trip Miles"/>
    <tableColumn id="6" name="Default Travel Minutes"/>
    <tableColumn id="7" name="Active"/>
    <tableColumn id="8" name="Invalid Date Range"/>
    <tableColumn id="9" name="Fee Validation"/>
    <tableColumn id="10" name="Conflict Details"/>
    <tableColumn id="11" name="Overlap Count"/>
    <tableColumn id="12" name="Test Record"/>
  </tableColumns>
  <tableStyleInfo name="TableStyleMedium2" showRowStripes="1"/>
</table>
</file>

<file path=xl/tables/table12.xml><?xml version="1.0" encoding="utf-8"?>
<table xmlns="http://schemas.openxmlformats.org/spreadsheetml/2006/main" id="12" name="tblProductSetup" displayName="tblProductSetup" ref="A3:G7" headerRowCount="1">
  <autoFilter ref="A3:G7"/>
  <tableColumns count="7">
    <tableColumn id="1" name="Variation ID"/>
    <tableColumn id="2" name="Shelf Stable"/>
    <tableColumn id="3" name="Spoils If Unsold"/>
    <tableColumn id="4" name="Product Group"/>
    <tableColumn id="5" name="Product Active"/>
    <tableColumn id="6" name="Notes"/>
    <tableColumn id="7" name="Test Record"/>
  </tableColumns>
  <tableStyleInfo name="TableStyleMedium2" showRowStripes="1"/>
</table>
</file>

<file path=xl/tables/table13.xml><?xml version="1.0" encoding="utf-8"?>
<table xmlns="http://schemas.openxmlformats.org/spreadsheetml/2006/main" id="13" name="tblRecipeMaster" displayName="tblRecipeMaster" ref="A3:E5" headerRowCount="1">
  <autoFilter ref="A3:E5"/>
  <tableColumns count="5">
    <tableColumn id="1" name="Recipe ID"/>
    <tableColumn id="2" name="Recipe Name"/>
    <tableColumn id="3" name="Recipe Active"/>
    <tableColumn id="4" name="Notes"/>
    <tableColumn id="5" name="Test Record"/>
  </tableColumns>
  <tableStyleInfo name="TableStyleMedium2" showRowStripes="1"/>
</table>
</file>

<file path=xl/tables/table14.xml><?xml version="1.0" encoding="utf-8"?>
<table xmlns="http://schemas.openxmlformats.org/spreadsheetml/2006/main" id="14" name="tblProductRecipeMapping" displayName="tblProductRecipeMapping" ref="A3:C6" headerRowCount="1">
  <autoFilter ref="A3:C6"/>
  <tableColumns count="3">
    <tableColumn id="1" name="Variation ID"/>
    <tableColumn id="2" name="Recipe ID"/>
    <tableColumn id="3" name="Test Record"/>
  </tableColumns>
  <tableStyleInfo name="TableStyleMedium2" showRowStripes="1"/>
</table>
</file>

<file path=xl/tables/table15.xml><?xml version="1.0" encoding="utf-8"?>
<table xmlns="http://schemas.openxmlformats.org/spreadsheetml/2006/main" id="15" name="tblRecipeIngredients" displayName="tblRecipeIngredients" ref="A3:E7" headerRowCount="1">
  <autoFilter ref="A3:E7"/>
  <tableColumns count="5">
    <tableColumn id="1" name="Recipe ID"/>
    <tableColumn id="2" name="Ingredient"/>
    <tableColumn id="3" name="Quantity Per Item"/>
    <tableColumn id="4" name="Unit"/>
    <tableColumn id="5" name="Test Record"/>
  </tableColumns>
  <tableStyleInfo name="TableStyleMedium2" showRowStripes="1"/>
</table>
</file>

<file path=xl/tables/table16.xml><?xml version="1.0" encoding="utf-8"?>
<table xmlns="http://schemas.openxmlformats.org/spreadsheetml/2006/main" id="16" name="tblProductCosts" displayName="tblProductCosts" ref="A3:E5" headerRowCount="1">
  <autoFilter ref="A3:E5"/>
  <tableColumns count="5">
    <tableColumn id="1" name="Variation ID"/>
    <tableColumn id="2" name="Effective Date"/>
    <tableColumn id="3" name="Manual Cost"/>
    <tableColumn id="4" name="Cost Review Status"/>
    <tableColumn id="5" name="Test Record"/>
  </tableColumns>
  <tableStyleInfo name="TableStyleMedium2" showRowStripes="1"/>
</table>
</file>

<file path=xl/tables/table17.xml><?xml version="1.0" encoding="utf-8"?>
<table xmlns="http://schemas.openxmlformats.org/spreadsheetml/2006/main" id="17" name="tblIngredientCostHistory" displayName="tblIngredientCostHistory" ref="A3:E6" headerRowCount="1">
  <autoFilter ref="A3:E6"/>
  <tableColumns count="5">
    <tableColumn id="1" name="Ingredient"/>
    <tableColumn id="2" name="Effective Date"/>
    <tableColumn id="3" name="Cost Per Unit"/>
    <tableColumn id="4" name="Unit"/>
    <tableColumn id="5" name="Test Record"/>
  </tableColumns>
  <tableStyleInfo name="TableStyleMedium2" showRowStripes="1"/>
</table>
</file>

<file path=xl/tables/table18.xml><?xml version="1.0" encoding="utf-8"?>
<table xmlns="http://schemas.openxmlformats.org/spreadsheetml/2006/main" id="18" name="tblBusinessExceptions" displayName="tblBusinessExceptions" ref="A3:I4" headerRowCount="1">
  <autoFilter ref="A3:I4"/>
  <tableColumns count="9">
    <tableColumn id="1" name="Start Date"/>
    <tableColumn id="2" name="End Date"/>
    <tableColumn id="3" name="Exception Type"/>
    <tableColumn id="4" name="Applies To"/>
    <tableColumn id="5" name="Market"/>
    <tableColumn id="6" name="Notes"/>
    <tableColumn id="7" name="Business Impact"/>
    <tableColumn id="8" name="Date Validation"/>
    <tableColumn id="9" name="Test Record"/>
  </tableColumns>
  <tableStyleInfo name="TableStyleMedium2" showRowStripes="1"/>
</table>
</file>

<file path=xl/tables/table19.xml><?xml version="1.0" encoding="utf-8"?>
<table xmlns="http://schemas.openxmlformats.org/spreadsheetml/2006/main" id="19" name="tblInventory" displayName="tblInventory" ref="A3:M5" headerRowCount="1">
  <autoFilter ref="A3:M5"/>
  <tableColumns count="13">
    <tableColumn id="1" name="Test Key"/>
    <tableColumn id="2" name="Variation ID"/>
    <tableColumn id="3" name="Inventory Date"/>
    <tableColumn id="4" name="Beginning Inventory"/>
    <tableColumn id="5" name="Produced"/>
    <tableColumn id="6" name="Sold"/>
    <tableColumn id="7" name="Samples"/>
    <tableColumn id="8" name="Available"/>
    <tableColumn id="9" name="Inventory Variance"/>
    <tableColumn id="10" name="Spoilage"/>
    <tableColumn id="11" name="Ending Inventory"/>
    <tableColumn id="12" name="Validation"/>
    <tableColumn id="13" name="Test Record"/>
  </tableColumns>
  <tableStyleInfo name="TableStyleMedium2" showRowStripes="1"/>
</table>
</file>

<file path=xl/tables/table20.xml><?xml version="1.0" encoding="utf-8"?>
<table xmlns="http://schemas.openxmlformats.org/spreadsheetml/2006/main" id="20" name="tblMarketRankings" displayName="tblMarketRankings" ref="A3:K5" headerRowCount="1">
  <autoFilter ref="A3:K5"/>
  <tableColumns count="11">
    <tableColumn id="1" name="Market"/>
    <tableColumn id="2" name="Visit Count"/>
    <tableColumn id="3" name="Eligibility"/>
    <tableColumn id="4" name="Lifetime Avg Profit"/>
    <tableColumn id="5" name="Business Score"/>
    <tableColumn id="6" name="Personal Score"/>
    <tableColumn id="7" name="Business Rank"/>
    <tableColumn id="8" name="Personal Rank"/>
    <tableColumn id="9" name="Confidence"/>
    <tableColumn id="10" name="Ranking Reason"/>
    <tableColumn id="11" name="Test Record"/>
  </tableColumns>
  <tableStyleInfo name="TableStyleMedium2" showRowStripes="1"/>
</table>
</file>

<file path=xl/tables/table21.xml><?xml version="1.0" encoding="utf-8"?>
<table xmlns="http://schemas.openxmlformats.org/spreadsheetml/2006/main" id="21" name="tblProductRankings" displayName="tblProductRankings" ref="A3:E4" headerRowCount="1">
  <autoFilter ref="A3:E4"/>
  <tableColumns count="5">
    <tableColumn id="1" name="Variation ID"/>
    <tableColumn id="2" name="Product Name"/>
    <tableColumn id="3" name="Annual Profit"/>
    <tableColumn id="4" name="Profit Rank"/>
    <tableColumn id="5" name="Test Record"/>
  </tableColumns>
  <tableStyleInfo name="TableStyleMedium2" showRowStripes="1"/>
</table>
</file>

<file path=xl/tables/table22.xml><?xml version="1.0" encoding="utf-8"?>
<table xmlns="http://schemas.openxmlformats.org/spreadsheetml/2006/main" id="22" name="tblErrorLog" displayName="tblErrorLog" ref="A3:H4" headerRowCount="1">
  <autoFilter ref="A3:H4"/>
  <tableColumns count="8">
    <tableColumn id="1" name="Date Found"/>
    <tableColumn id="2" name="Error Type"/>
    <tableColumn id="3" name="Source"/>
    <tableColumn id="4" name="Reference"/>
    <tableColumn id="5" name="Description"/>
    <tableColumn id="6" name="Severity"/>
    <tableColumn id="7" name="Status"/>
    <tableColumn id="8" name="Resolution Notes"/>
  </tableColumns>
  <tableStyleInfo name="TableStyleMedium2" showRowStripes="1"/>
</table>
</file>

<file path=xl/tables/table23.xml><?xml version="1.0" encoding="utf-8"?>
<table xmlns="http://schemas.openxmlformats.org/spreadsheetml/2006/main" id="23" name="tblWorkbookVersion" displayName="tblWorkbookVersion" ref="A3:E4" headerRowCount="1">
  <autoFilter ref="A3:E4"/>
  <tableColumns count="5">
    <tableColumn id="1" name="Version"/>
    <tableColumn id="2" name="Date"/>
    <tableColumn id="3" name="Change"/>
    <tableColumn id="4" name="Tested"/>
    <tableColumn id="5" name="Approved By"/>
  </tableColumns>
  <tableStyleInfo name="TableStyleMedium2" showRowStripes="1"/>
</table>
</file>

<file path=xl/tables/table24.xml><?xml version="1.0" encoding="utf-8"?>
<table xmlns="http://schemas.openxmlformats.org/spreadsheetml/2006/main" id="24" name="tblSquareCatalog" displayName="tblSquareCatalog" ref="A3:I7" headerRowCount="1">
  <autoFilter ref="A3:I7"/>
  <tableColumns count="9">
    <tableColumn id="1" name="Variation ID"/>
    <tableColumn id="2" name="Item ID"/>
    <tableColumn id="3" name="Product Name"/>
    <tableColumn id="4" name="Variation Name"/>
    <tableColumn id="5" name="SKU"/>
    <tableColumn id="6" name="First Seen Date"/>
    <tableColumn id="7" name="Last Seen Date"/>
    <tableColumn id="8" name="Active In Square"/>
    <tableColumn id="9" name="Test Record"/>
  </tableColumns>
  <tableStyleInfo name="TableStyleMedium2" showRowStripes="1"/>
</table>
</file>

<file path=xl/tables/table25.xml><?xml version="1.0" encoding="utf-8"?>
<table xmlns="http://schemas.openxmlformats.org/spreadsheetml/2006/main" id="25" name="tblSalesData" displayName="tblSalesData" ref="A3:K4" headerRowCount="1">
  <autoFilter ref="A3:K4"/>
  <tableColumns count="11">
    <tableColumn id="1" name="Sale Timestamp"/>
    <tableColumn id="2" name="Variation ID"/>
    <tableColumn id="3" name="Product Name"/>
    <tableColumn id="4" name="Quantity Sold"/>
    <tableColumn id="5" name="Gross Sales"/>
    <tableColumn id="6" name="Effective Product Cost"/>
    <tableColumn id="7" name="COGS"/>
    <tableColumn id="8" name="Square Fee"/>
    <tableColumn id="9" name="Source File"/>
    <tableColumn id="10" name="Duplicate Key"/>
    <tableColumn id="11" name="Test Record"/>
  </tableColumns>
  <tableStyleInfo name="TableStyleMedium2" showRowStripes="1"/>
</table>
</file>

<file path=xl/tables/table26.xml><?xml version="1.0" encoding="utf-8"?>
<table xmlns="http://schemas.openxmlformats.org/spreadsheetml/2006/main" id="26" name="tblImportLog" displayName="tblImportLog" ref="A3:F4" headerRowCount="1">
  <autoFilter ref="A3:F4"/>
  <tableColumns count="6">
    <tableColumn id="1" name="Import Timestamp"/>
    <tableColumn id="2" name="Source File"/>
    <tableColumn id="3" name="Imported By"/>
    <tableColumn id="4" name="Records Imported"/>
    <tableColumn id="5" name="Status"/>
    <tableColumn id="6" name="Test Record"/>
  </tableColumns>
  <tableStyleInfo name="TableStyleMedium2" showRowStripes="1"/>
</table>
</file>

<file path=xl/tables/table27.xml><?xml version="1.0" encoding="utf-8"?>
<table xmlns="http://schemas.openxmlformats.org/spreadsheetml/2006/main" id="27" name="tblIngredientUsage" displayName="tblIngredientUsage" ref="A3:K4" headerRowCount="1">
  <autoFilter ref="A3:K4"/>
  <tableColumns count="11">
    <tableColumn id="1" name="Test Key"/>
    <tableColumn id="2" name="Usage Date"/>
    <tableColumn id="3" name="Recipe ID"/>
    <tableColumn id="4" name="Variation ID"/>
    <tableColumn id="5" name="Ingredient"/>
    <tableColumn id="6" name="Quantity Produced"/>
    <tableColumn id="7" name="Quantity Per Item"/>
    <tableColumn id="8" name="Quantity Used"/>
    <tableColumn id="9" name="Unit Cost"/>
    <tableColumn id="10" name="Usage Cost"/>
    <tableColumn id="11" name="Test Record"/>
  </tableColumns>
  <tableStyleInfo name="TableStyleMedium2" showRowStripes="1"/>
</table>
</file>

<file path=xl/tables/table28.xml><?xml version="1.0" encoding="utf-8"?>
<table xmlns="http://schemas.openxmlformats.org/spreadsheetml/2006/main" id="28" name="tblDataQuality" displayName="tblDataQuality" ref="A3:F7" headerRowCount="1">
  <autoFilter ref="A3:F7"/>
  <tableColumns count="6">
    <tableColumn id="1" name="Quality Area"/>
    <tableColumn id="2" name="Open Issues"/>
    <tableColumn id="3" name="Weight"/>
    <tableColumn id="4" name="Weighted Deduction"/>
    <tableColumn id="5" name="Status"/>
    <tableColumn id="6" name="Test Record"/>
  </tableColumns>
  <tableStyleInfo name="TableStyleMedium2" showRowStripes="1"/>
</table>
</file>

<file path=xl/tables/table29.xml><?xml version="1.0" encoding="utf-8"?>
<table xmlns="http://schemas.openxmlformats.org/spreadsheetml/2006/main" id="29" name="tblForecasting" displayName="tblForecasting" ref="A3:I5" headerRowCount="1">
  <autoFilter ref="A3:I5"/>
  <tableColumns count="9">
    <tableColumn id="1" name="Metric"/>
    <tableColumn id="2" name="Current Value"/>
    <tableColumn id="3" name="4 Week Avg"/>
    <tableColumn id="4" name="8 Week Avg"/>
    <tableColumn id="5" name="13 Week Avg"/>
    <tableColumn id="6" name="Next Week Forecast"/>
    <tableColumn id="7" name="Next Month Forecast"/>
    <tableColumn id="8" name="Confidence"/>
    <tableColumn id="9" name="Test Record"/>
  </tableColumns>
  <tableStyleInfo name="TableStyleMedium2" showRowStripes="1"/>
</table>
</file>

<file path=xl/tables/table30.xml><?xml version="1.0" encoding="utf-8"?>
<table xmlns="http://schemas.openxmlformats.org/spreadsheetml/2006/main" id="30" name="tblProductScorecards" displayName="tblProductScorecards" ref="A3:L4" headerRowCount="1">
  <autoFilter ref="A3:L4"/>
  <tableColumns count="12">
    <tableColumn id="1" name="Variation ID"/>
    <tableColumn id="2" name="Product Name"/>
    <tableColumn id="3" name="Revenue"/>
    <tableColumn id="4" name="COGS"/>
    <tableColumn id="5" name="Profit"/>
    <tableColumn id="6" name="Margin %"/>
    <tableColumn id="7" name="Units Sold"/>
    <tableColumn id="8" name="Waste Units"/>
    <tableColumn id="9" name="Waste %"/>
    <tableColumn id="10" name="Growth %"/>
    <tableColumn id="11" name="Lifecycle Status"/>
    <tableColumn id="12" name="Test Record"/>
  </tableColumns>
  <tableStyleInfo name="TableStyleMedium2" showRowStripes="1"/>
</table>
</file>

<file path=xl/tables/table31.xml><?xml version="1.0" encoding="utf-8"?>
<table xmlns="http://schemas.openxmlformats.org/spreadsheetml/2006/main" id="31" name="tblMarketOpportunity" displayName="tblMarketOpportunity" ref="A3:I4" headerRowCount="1">
  <autoFilter ref="A3:I4"/>
  <tableColumns count="9">
    <tableColumn id="1" name="Market"/>
    <tableColumn id="2" name="Revenue Growth Score"/>
    <tableColumn id="3" name="Profit Growth Score"/>
    <tableColumn id="4" name="Visit Frequency Score"/>
    <tableColumn id="5" name="Reliability Score"/>
    <tableColumn id="6" name="Opportunity Score"/>
    <tableColumn id="7" name="Opportunity Band"/>
    <tableColumn id="8" name="Recommended Action"/>
    <tableColumn id="9" name="Test Record"/>
  </tableColumns>
  <tableStyleInfo name="TableStyleMedium2" showRowStripes="1"/>
</table>
</file>

<file path=xl/tables/table32.xml><?xml version="1.0" encoding="utf-8"?>
<table xmlns="http://schemas.openxmlformats.org/spreadsheetml/2006/main" id="32" name="tblReleaseCertification" displayName="tblReleaseCertification" ref="A3:F9" headerRowCount="1">
  <autoFilter ref="A3:F9"/>
  <tableColumns count="6">
    <tableColumn id="1" name="Control"/>
    <tableColumn id="2" name="Required Result"/>
    <tableColumn id="3" name="Actual Result"/>
    <tableColumn id="4" name="Pass/Fail"/>
    <tableColumn id="5" name="Blocking"/>
    <tableColumn id="6" name="Notes"/>
  </tableColumns>
  <tableStyleInfo name="TableStyleMedium2" showRowStripes="1"/>
</table>
</file>

<file path=xl/tables/table33.xml><?xml version="1.0" encoding="utf-8"?>
<table xmlns="http://schemas.openxmlformats.org/spreadsheetml/2006/main" id="33" name="tblQueryArchitecture" displayName="tblQueryArchitecture" ref="A3:H11" headerRowCount="1">
  <autoFilter ref="A3:H11"/>
  <tableColumns count="8">
    <tableColumn id="1" name="Query Name"/>
    <tableColumn id="2" name="Layer"/>
    <tableColumn id="3" name="Source"/>
    <tableColumn id="4" name="Output"/>
    <tableColumn id="5" name="Load Enabled"/>
    <tableColumn id="6" name="Status"/>
    <tableColumn id="7" name="Implementation Notes"/>
    <tableColumn id="8" name="Test Record"/>
  </tableColumns>
  <tableStyleInfo name="TableStyleMedium2" showRowStripes="1"/>
</table>
</file>

<file path=xl/tables/table34.xml><?xml version="1.0" encoding="utf-8"?>
<table xmlns="http://schemas.openxmlformats.org/spreadsheetml/2006/main" id="34" name="tblReorderEngine" displayName="tblReorderEngine" ref="A3:K4" headerRowCount="1">
  <autoFilter ref="A3:K4"/>
  <tableColumns count="11">
    <tableColumn id="1" name="Ingredient"/>
    <tableColumn id="2" name="On Hand"/>
    <tableColumn id="3" name="Average Daily Usage"/>
    <tableColumn id="4" name="Lead Time Days"/>
    <tableColumn id="5" name="Safety Stock"/>
    <tableColumn id="6" name="Reorder Point"/>
    <tableColumn id="7" name="Needs Reorder"/>
    <tableColumn id="8" name="Suggested Purchase Qty"/>
    <tableColumn id="9" name="Estimated Unit Cost"/>
    <tableColumn id="10" name="Estimated Purchase Cost"/>
    <tableColumn id="11" name="Test Record"/>
  </tableColumns>
  <tableStyleInfo name="TableStyleMedium2" showRowStripes="1"/>
</table>
</file>

<file path=xl/tables/table35.xml><?xml version="1.0" encoding="utf-8"?>
<table xmlns="http://schemas.openxmlformats.org/spreadsheetml/2006/main" id="35" name="tblInventoryValuation" displayName="tblInventoryValuation" ref="A3:G4" headerRowCount="1">
  <autoFilter ref="A3:G4"/>
  <tableColumns count="7">
    <tableColumn id="1" name="Inventory Date"/>
    <tableColumn id="2" name="Variation ID"/>
    <tableColumn id="3" name="Product Name"/>
    <tableColumn id="4" name="Ending Inventory"/>
    <tableColumn id="5" name="Effective Product Cost"/>
    <tableColumn id="6" name="Inventory Value"/>
    <tableColumn id="7" name="Test Record"/>
  </tableColumns>
  <tableStyleInfo name="TableStyleMedium2" showRowStripes="1"/>
</table>
</file>

<file path=xl/tables/table36.xml><?xml version="1.0" encoding="utf-8"?>
<table xmlns="http://schemas.openxmlformats.org/spreadsheetml/2006/main" id="36" name="tblDashboardTesting" displayName="tblDashboardTesting" ref="A3:F8" headerRowCount="1">
  <autoFilter ref="A3:F8"/>
  <tableColumns count="6">
    <tableColumn id="1" name="Test ID"/>
    <tableColumn id="2" name="Dashboard"/>
    <tableColumn id="3" name="Control"/>
    <tableColumn id="4" name="Expected"/>
    <tableColumn id="5" name="Actual"/>
    <tableColumn id="6" name="Status"/>
  </tableColumns>
  <tableStyleInfo name="TableStyleMedium2" showRowStripes="1"/>
</table>
</file>

<file path=xl/tables/table37.xml><?xml version="1.0" encoding="utf-8"?>
<table xmlns="http://schemas.openxmlformats.org/spreadsheetml/2006/main" id="37" name="tblTestData" displayName="tblTestData" ref="A3:B9" headerRowCount="1">
  <autoFilter ref="A3:B9"/>
  <tableColumns count="2">
    <tableColumn id="1" name="Scenario"/>
    <tableColumn id="2" name="Value"/>
  </tableColumns>
</table>
</file>

<file path=xl/tables/table38.xml><?xml version="1.0" encoding="utf-8"?>
<table xmlns="http://schemas.openxmlformats.org/spreadsheetml/2006/main" id="38" name="tblRegressionTests" displayName="tblRegressionTests" ref="A3:H113" headerRowCount="1">
  <autoFilter ref="A3:H113"/>
  <tableColumns count="8">
    <tableColumn id="1" name="Test ID"/>
    <tableColumn id="2" name="Category"/>
    <tableColumn id="3" name="Test Name"/>
    <tableColumn id="4" name="Expected Result"/>
    <tableColumn id="5" name="Actual Result"/>
    <tableColumn id="6" name="Status"/>
    <tableColumn id="7" name="Severity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table" Target="/xl/tables/table6.xml" Id="rId4"/></Relationships>
</file>

<file path=xl/worksheets/_rels/sheet4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26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0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9.xml" Id="rId2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table" Target="/xl/tables/table30.xml" Id="rId2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31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32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33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34.xml" Id="rId1"/></Relationships>
</file>

<file path=xl/worksheets/_rels/sheet37.xml.rels><Relationships xmlns="http://schemas.openxmlformats.org/package/2006/relationships"><Relationship Type="http://schemas.openxmlformats.org/officeDocument/2006/relationships/table" Target="/xl/tables/table35.xml" Id="rId1"/></Relationships>
</file>

<file path=xl/worksheets/_rels/sheet38.xml.rels><Relationships xmlns="http://schemas.openxmlformats.org/package/2006/relationships"><Relationship Type="http://schemas.openxmlformats.org/officeDocument/2006/relationships/table" Target="/xl/tables/table36.xml" Id="rId1"/></Relationships>
</file>

<file path=xl/worksheets/_rels/sheet39.xml.rels><Relationships xmlns="http://schemas.openxmlformats.org/package/2006/relationships"><Relationship Type="http://schemas.openxmlformats.org/officeDocument/2006/relationships/table" Target="/xl/tables/table37.xml" Id="rId1"/></Relationships>
</file>

<file path=xl/worksheets/_rels/sheet41.xml.rels><Relationships xmlns="http://schemas.openxmlformats.org/package/2006/relationships"><Relationship Type="http://schemas.openxmlformats.org/officeDocument/2006/relationships/table" Target="/xl/tables/table38.xml" Id="rId1"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style="7" min="1" max="1"/>
    <col width="20" customWidth="1" style="7" min="2" max="2"/>
    <col width="20" customWidth="1" style="7" min="4" max="4"/>
    <col width="20" customWidth="1" style="7" min="5" max="5"/>
    <col width="20" customWidth="1" style="7" min="6" max="6"/>
    <col width="20" customWidth="1" style="7" min="7" max="7"/>
  </cols>
  <sheetData>
    <row r="1">
      <c r="A1" s="38" t="inlineStr">
        <is>
          <t>Enterprise Testing Dashboard</t>
        </is>
      </c>
    </row>
    <row r="3">
      <c r="A3" t="inlineStr">
        <is>
          <t>Total Tests</t>
        </is>
      </c>
      <c r="B3">
        <f>ROWS(tblRegressionTests[Test ID])</f>
        <v/>
      </c>
      <c r="D3" t="inlineStr">
        <is>
          <t>Category</t>
        </is>
      </c>
      <c r="E3" t="inlineStr">
        <is>
          <t>Total</t>
        </is>
      </c>
      <c r="F3" t="inlineStr">
        <is>
          <t>Passed</t>
        </is>
      </c>
      <c r="G3" t="inlineStr">
        <is>
          <t>Failed</t>
        </is>
      </c>
    </row>
    <row r="4">
      <c r="A4" t="inlineStr">
        <is>
          <t>Passed</t>
        </is>
      </c>
      <c r="B4">
        <f>COUNTIF(tblRegressionTests[Status],"PASS")</f>
        <v/>
      </c>
      <c r="D4" t="inlineStr">
        <is>
          <t>Dashboard</t>
        </is>
      </c>
      <c r="E4">
        <f>COUNTIF(tblRegressionTests[Category],D4)</f>
        <v/>
      </c>
      <c r="F4">
        <f>COUNTIFS(tblRegressionTests[Category],D4,tblRegressionTests[Status],"PASS")</f>
        <v/>
      </c>
      <c r="G4">
        <f>COUNTIFS(tblRegressionTests[Category],D4,tblRegressionTests[Status],"FAIL")</f>
        <v/>
      </c>
    </row>
    <row r="5">
      <c r="A5" t="inlineStr">
        <is>
          <t>Failed</t>
        </is>
      </c>
      <c r="B5">
        <f>COUNTIF(tblRegressionTests[Status],"FAIL")</f>
        <v/>
      </c>
      <c r="D5" t="inlineStr">
        <is>
          <t>Inventory</t>
        </is>
      </c>
      <c r="E5">
        <f>COUNTIF(tblRegressionTests[Category],D5)</f>
        <v/>
      </c>
      <c r="F5">
        <f>COUNTIFS(tblRegressionTests[Category],D5,tblRegressionTests[Status],"PASS")</f>
        <v/>
      </c>
      <c r="G5">
        <f>COUNTIFS(tblRegressionTests[Category],D5,tblRegressionTests[Status],"FAIL")</f>
        <v/>
      </c>
    </row>
    <row r="6">
      <c r="A6" t="inlineStr">
        <is>
          <t>Pass Rate</t>
        </is>
      </c>
      <c r="B6" s="37">
        <f>IFERROR(B4/B3,0)</f>
        <v/>
      </c>
      <c r="D6" t="inlineStr">
        <is>
          <t>Product</t>
        </is>
      </c>
      <c r="E6">
        <f>COUNTIF(tblRegressionTests[Category],D6)</f>
        <v/>
      </c>
      <c r="F6">
        <f>COUNTIFS(tblRegressionTests[Category],D6,tblRegressionTests[Status],"PASS")</f>
        <v/>
      </c>
      <c r="G6">
        <f>COUNTIFS(tblRegressionTests[Category],D6,tblRegressionTests[Status],"FAIL")</f>
        <v/>
      </c>
    </row>
    <row r="7">
      <c r="A7" t="inlineStr">
        <is>
          <t>Release Gate</t>
        </is>
      </c>
      <c r="B7">
        <f>IF(B5=0,"READY","BLOCKED")</f>
        <v/>
      </c>
      <c r="D7" t="inlineStr">
        <is>
          <t>Market</t>
        </is>
      </c>
      <c r="E7">
        <f>COUNTIF(tblRegressionTests[Category],D7)</f>
        <v/>
      </c>
      <c r="F7">
        <f>COUNTIFS(tblRegressionTests[Category],D7,tblRegressionTests[Status],"PASS")</f>
        <v/>
      </c>
      <c r="G7">
        <f>COUNTIFS(tblRegressionTests[Category],D7,tblRegressionTests[Status],"FAIL")</f>
        <v/>
      </c>
    </row>
    <row r="8">
      <c r="D8" t="inlineStr">
        <is>
          <t>Governance</t>
        </is>
      </c>
      <c r="E8">
        <f>COUNTIF(tblRegressionTests[Category],D8)</f>
        <v/>
      </c>
      <c r="F8">
        <f>COUNTIFS(tblRegressionTests[Category],D8,tblRegressionTests[Status],"PASS")</f>
        <v/>
      </c>
      <c r="G8">
        <f>COUNTIFS(tblRegressionTests[Category],D8,tblRegressionTests[Status],"FAIL")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22" customWidth="1" style="7" min="1" max="1"/>
    <col width="45" customWidth="1" style="7" min="2" max="2"/>
  </cols>
  <sheetData>
    <row r="1" ht="24" customHeight="1" s="7">
      <c r="A1" s="1" t="inlineStr">
        <is>
          <t>START HERE</t>
        </is>
      </c>
    </row>
    <row r="3">
      <c r="A3" s="11" t="inlineStr">
        <is>
          <t>Golden Rule</t>
        </is>
      </c>
    </row>
    <row r="4">
      <c r="A4" s="6" t="inlineStr">
        <is>
          <t>Weekly use should require only: (1) place Square export files, (2) Refresh All, (3) complete Weekly Entry, and review dashboards.</t>
        </is>
      </c>
    </row>
    <row r="6">
      <c r="A6" s="11" t="inlineStr">
        <is>
          <t>Step</t>
        </is>
      </c>
      <c r="B6" s="11" t="inlineStr">
        <is>
          <t>Action</t>
        </is>
      </c>
    </row>
    <row r="7">
      <c r="A7" s="6" t="inlineStr">
        <is>
          <t>1</t>
        </is>
      </c>
      <c r="B7" s="6" t="inlineStr">
        <is>
          <t>Place Square export file(s) in the approved folder.</t>
        </is>
      </c>
    </row>
    <row r="8">
      <c r="A8" s="6" t="inlineStr">
        <is>
          <t>2</t>
        </is>
      </c>
      <c r="B8" s="6" t="inlineStr">
        <is>
          <t>Data &gt; Refresh All.</t>
        </is>
      </c>
    </row>
    <row r="9">
      <c r="A9" s="6" t="inlineStr">
        <is>
          <t>3</t>
        </is>
      </c>
      <c r="B9" s="6" t="inlineStr">
        <is>
          <t>Complete Weekly_Entry: markets, production exceptions, purchases, expenses.</t>
        </is>
      </c>
    </row>
    <row r="10">
      <c r="A10" s="6" t="inlineStr">
        <is>
          <t>4</t>
        </is>
      </c>
      <c r="B10" s="6" t="inlineStr">
        <is>
          <t>Review Operations_Dashboard, then Business_Dashboard.</t>
        </is>
      </c>
    </row>
    <row r="11">
      <c r="A11" s="6" t="inlineStr">
        <is>
          <t>5</t>
        </is>
      </c>
      <c r="B11" s="6" t="inlineStr">
        <is>
          <t>Run TESTING before increasing the workbook version.</t>
        </is>
      </c>
    </row>
    <row r="14">
      <c r="A14" s="4" t="inlineStr">
        <is>
          <t>Product ID warning</t>
        </is>
      </c>
    </row>
    <row r="15">
      <c r="A15" s="6" t="inlineStr">
        <is>
          <t>Use Square Variation ID as the product key. Confirm the Square export contains Variation ID. If not, import a catalog export and map by SKU or Item + Variation name. Do not permanently match by product name alone.</t>
        </is>
      </c>
    </row>
    <row r="16"/>
    <row r="18">
      <c r="A18" s="11" t="inlineStr">
        <is>
          <t>Refresh sequence</t>
        </is>
      </c>
    </row>
    <row r="19">
      <c r="A19" s="11" t="inlineStr">
        <is>
          <t>Order</t>
        </is>
      </c>
      <c r="B19" s="11" t="inlineStr">
        <is>
          <t>Refresh Step</t>
        </is>
      </c>
    </row>
    <row r="20">
      <c r="A20" s="6" t="n">
        <v>1</v>
      </c>
      <c r="B20" s="6" t="inlineStr">
        <is>
          <t>Import Square files</t>
        </is>
      </c>
    </row>
    <row r="21">
      <c r="A21" s="6" t="n">
        <v>2</v>
      </c>
      <c r="B21" s="6" t="inlineStr">
        <is>
          <t>Refresh staging queries</t>
        </is>
      </c>
    </row>
    <row r="22">
      <c r="A22" s="6" t="n">
        <v>3</v>
      </c>
      <c r="B22" s="6" t="inlineStr">
        <is>
          <t>Refresh Product Master</t>
        </is>
      </c>
    </row>
    <row r="23">
      <c r="A23" s="6" t="n">
        <v>4</v>
      </c>
      <c r="B23" s="6" t="inlineStr">
        <is>
          <t>Refresh Inventory and rankings</t>
        </is>
      </c>
    </row>
    <row r="24">
      <c r="A24" s="6" t="n">
        <v>5</v>
      </c>
      <c r="B24" s="6" t="inlineStr">
        <is>
          <t>Refresh dashboards</t>
        </is>
      </c>
    </row>
    <row r="25">
      <c r="A25" s="6" t="n">
        <v>6</v>
      </c>
      <c r="B25" s="6" t="inlineStr">
        <is>
          <t>Run TESTING</t>
        </is>
      </c>
    </row>
    <row r="28">
      <c r="A28" s="11" t="inlineStr">
        <is>
          <t>Market Master governance</t>
        </is>
      </c>
    </row>
    <row r="29">
      <c r="A29" s="6" t="inlineStr">
        <is>
          <t>Never edit a historical market-default row. End-date it and add a new row. Market Master defines cost/mileage defaults only and does not imply attendance.</t>
        </is>
      </c>
    </row>
    <row r="30"/>
    <row r="32">
      <c r="A32" s="31" t="inlineStr">
        <is>
          <t>v3.0 Additions</t>
        </is>
      </c>
    </row>
    <row r="33">
      <c r="A33" s="32" t="inlineStr">
        <is>
          <t>Executive dashboard, Monthly/YTD KPIs, reorder engine, inventory valuation, forecasting, product scorecards, market opportunity scoring, data quality dashboard, release certification, and Power Query stubs.</t>
        </is>
      </c>
    </row>
    <row r="34"/>
    <row r="36">
      <c r="A36" s="31" t="inlineStr">
        <is>
          <t>Regression Testing</t>
        </is>
      </c>
    </row>
    <row r="37">
      <c r="A37" s="32" t="inlineStr">
        <is>
          <t>Use Regression_Summary for the release gate and Regression_Tests for detailed diagnostics. The suite contains 110 automated tests across dashboards, inventory, products, markets, and governance.</t>
        </is>
      </c>
    </row>
    <row r="38"/>
  </sheetData>
  <mergeCells count="6">
    <mergeCell ref="A4:H4"/>
    <mergeCell ref="A33:H34"/>
    <mergeCell ref="A29:H30"/>
    <mergeCell ref="A15:H16"/>
    <mergeCell ref="A37:H38"/>
    <mergeCell ref="A1:H1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tabColor rgb="005B9BD5"/>
    <outlinePr summaryBelow="1" summaryRight="1"/>
    <pageSetUpPr/>
  </sheetPr>
  <dimension ref="A1:O22"/>
  <sheetViews>
    <sheetView showGridLines="0" workbookViewId="0">
      <selection activeCell="A1" sqref="A1"/>
    </sheetView>
  </sheetViews>
  <sheetFormatPr baseColWidth="8" defaultRowHeight="15"/>
  <cols>
    <col width="14" customWidth="1" style="7" min="1" max="1"/>
    <col width="18" customWidth="1" style="7" min="2" max="2"/>
    <col width="14" customWidth="1" style="7" min="3" max="3"/>
    <col width="35" customWidth="1" style="7" min="4" max="4"/>
    <col width="12" customWidth="1" style="7" min="5" max="5"/>
    <col width="12" customWidth="1" style="7" min="6" max="6"/>
    <col width="10" customWidth="1" style="7" min="7" max="7"/>
    <col width="14" customWidth="1" style="7" min="8" max="8"/>
    <col width="25" customWidth="1" style="7" min="9" max="9"/>
    <col width="18" customWidth="1" style="7" min="10" max="10"/>
    <col width="12" customWidth="1" style="7" min="11" max="11"/>
    <col width="13" customWidth="1" style="7" min="12" max="12"/>
    <col width="16" customWidth="1" style="7" min="13" max="13"/>
    <col width="24" customWidth="1" style="7" min="14" max="14"/>
    <col width="12" customWidth="1" style="7" min="15" max="15"/>
  </cols>
  <sheetData>
    <row r="1" ht="24" customHeight="1" s="7">
      <c r="A1" s="1" t="inlineStr">
        <is>
          <t>WEEKLY ENTRY</t>
        </is>
      </c>
    </row>
    <row r="3">
      <c r="A3" s="11" t="inlineStr">
        <is>
          <t>Markets</t>
        </is>
      </c>
    </row>
    <row r="4">
      <c r="A4" s="11" t="inlineStr">
        <is>
          <t>Test Key</t>
        </is>
      </c>
      <c r="B4" s="11" t="inlineStr">
        <is>
          <t>Market Date</t>
        </is>
      </c>
      <c r="C4" s="11" t="inlineStr">
        <is>
          <t>Market</t>
        </is>
      </c>
      <c r="D4" s="11" t="inlineStr">
        <is>
          <t>Market Status</t>
        </is>
      </c>
      <c r="E4" s="11" t="inlineStr">
        <is>
          <t>Market Day Score</t>
        </is>
      </c>
      <c r="F4" s="11" t="inlineStr">
        <is>
          <t>Notes</t>
        </is>
      </c>
      <c r="G4" s="11" t="inlineStr">
        <is>
          <t>Override Miles</t>
        </is>
      </c>
      <c r="H4" s="11" t="inlineStr">
        <is>
          <t>Attendance Category</t>
        </is>
      </c>
      <c r="I4" s="11" t="inlineStr">
        <is>
          <t>Market Match Count</t>
        </is>
      </c>
      <c r="J4" s="11" t="inlineStr">
        <is>
          <t>Market Fee</t>
        </is>
      </c>
      <c r="K4" s="11" t="inlineStr">
        <is>
          <t>Actual Miles</t>
        </is>
      </c>
      <c r="L4" s="11" t="inlineStr">
        <is>
          <t>Travel Cost</t>
        </is>
      </c>
      <c r="M4" s="11" t="inlineStr">
        <is>
          <t>Imported Sales Rows</t>
        </is>
      </c>
      <c r="N4" s="11" t="inlineStr">
        <is>
          <t>Import Status</t>
        </is>
      </c>
      <c r="O4" s="11" t="inlineStr">
        <is>
          <t>Test Record</t>
        </is>
      </c>
    </row>
    <row r="5">
      <c r="A5" s="6" t="inlineStr">
        <is>
          <t>TEST-MKT-01</t>
        </is>
      </c>
      <c r="B5" s="24" t="n">
        <v>46027</v>
      </c>
      <c r="C5" s="6" t="inlineStr">
        <is>
          <t>TEST-ORLANDO</t>
        </is>
      </c>
      <c r="D5" s="6" t="inlineStr">
        <is>
          <t>Attended</t>
        </is>
      </c>
      <c r="E5" s="6" t="inlineStr">
        <is>
          <t>Good</t>
        </is>
      </c>
      <c r="F5" s="6" t="inlineStr">
        <is>
          <t>Fixture</t>
        </is>
      </c>
      <c r="H5" s="20">
        <f>IF(OR(tblWeeklyMarkets[[#This Row],[Market Status]]="Attended",tblWeeklyMarkets[[#This Row],[Market Status]]="Partial Day"),"Attended",IF(OR(tblWeeklyMarkets[[#This Row],[Market Status]]="Vacation",tblWeeklyMarkets[[#This Row],[Market Status]]="Family",tblWeeklyMarkets[[#This Row],[Market Status]]="Personal",tblWeeklyMarkets[[#This Row],[Market Status]]="Illness",tblWeeklyMarkets[[#This Row],[Market Status]]="Emergency"),"Excluded","Not Attended"))</f>
        <v/>
      </c>
      <c r="I5" s="20">
        <f>SUMPRODUCT(--(tblMarketMaster[Market]=tblWeeklyMarkets[[#This Row],[Market]]),--(tblMarketMaster[Start Date]&lt;=tblWeeklyMarkets[[#This Row],[Market Date]]),--(IF(tblMarketMaster[End Date]="",DATE(9999,12,31),tblMarketMaster[End Date])&gt;=tblWeeklyMarkets[[#This Row],[Market Date]]))</f>
        <v/>
      </c>
      <c r="J5" s="25">
        <f>IF(tblWeeklyMarkets[[#This Row],[Attendance Category]]&lt;&gt;"Attended",0,IF(tblWeeklyMarkets[[#This Row],[Market Match Count]]&lt;&gt;1,"",_xlfn.XLOOKUP(1,(tblMarketMaster[Market]=tblWeeklyMarkets[[#This Row],[Market]])*(tblMarketMaster[Start Date]&lt;=tblWeeklyMarkets[[#This Row],[Market Date]])*(IF(tblMarketMaster[End Date]="",DATE(9999,12,31),tblMarketMaster[End Date])&gt;=tblWeeklyMarkets[[#This Row],[Market Date]]),tblMarketMaster[Market Fee],"")))</f>
        <v/>
      </c>
      <c r="K5" s="20">
        <f>IF(tblWeeklyMarkets[[#This Row],[Attendance Category]]&lt;&gt;"Attended",0,IF(tblWeeklyMarkets[[#This Row],[Override Miles]]&lt;&gt;"",tblWeeklyMarkets[[#This Row],[Override Miles]],IF(tblWeeklyMarkets[[#This Row],[Market Match Count]]&lt;&gt;1,"",_xlfn.XLOOKUP(1,(tblMarketMaster[Market]=tblWeeklyMarkets[[#This Row],[Market]])*(tblMarketMaster[Start Date]&lt;=tblWeeklyMarkets[[#This Row],[Market Date]])*(IF(tblMarketMaster[End Date]="",DATE(9999,12,31),tblMarketMaster[End Date])&gt;=tblWeeklyMarkets[[#This Row],[Market Date]]),tblMarketMaster[Default Round Trip Miles],""))))</f>
        <v/>
      </c>
      <c r="L5" s="25">
        <f>IFERROR(tblWeeklyMarkets[[#This Row],[Actual Miles]]*MileageRate,0)</f>
        <v/>
      </c>
      <c r="M5" s="20">
        <f>COUNTIFS(tblSalesData[Sale Timestamp],"&gt;="&amp;tblWeeklyMarkets[[#This Row],[Market Date]],tblSalesData[Sale Timestamp],"&lt;"&amp;(tblWeeklyMarkets[[#This Row],[Market Date]]+1),tblSalesData[Test Record],tblWeeklyMarkets[[#This Row],[Test Record]])</f>
        <v/>
      </c>
      <c r="N5" s="20">
        <f>IF(tblWeeklyMarkets[[#This Row],[Attendance Category]]="Excluded","EXCLUDED",IF(tblWeeklyMarkets[[#This Row],[Attendance Category]]&lt;&gt;"Attended","NOT EXPECTED",IF(tblWeeklyMarkets[[#This Row],[Imported Sales Rows]]&gt;0,"IMPORTED","SALES DATA NOT IMPORTED")))</f>
        <v/>
      </c>
      <c r="O5" s="6" t="inlineStr">
        <is>
          <t>Yes</t>
        </is>
      </c>
    </row>
    <row r="6">
      <c r="A6" s="6" t="inlineStr">
        <is>
          <t>TEST-MKT-02</t>
        </is>
      </c>
      <c r="B6" s="24" t="n">
        <v>46034</v>
      </c>
      <c r="C6" s="6" t="inlineStr">
        <is>
          <t>TEST-ORLANDO</t>
        </is>
      </c>
      <c r="D6" s="6" t="inlineStr">
        <is>
          <t>Vacation</t>
        </is>
      </c>
      <c r="E6" s="6" t="inlineStr">
        <is>
          <t>Average</t>
        </is>
      </c>
      <c r="F6" s="6" t="inlineStr">
        <is>
          <t>Fixture</t>
        </is>
      </c>
      <c r="H6" s="20">
        <f>IF(OR(tblWeeklyMarkets[[#This Row],[Market Status]]="Attended",tblWeeklyMarkets[[#This Row],[Market Status]]="Partial Day"),"Attended",IF(OR(tblWeeklyMarkets[[#This Row],[Market Status]]="Vacation",tblWeeklyMarkets[[#This Row],[Market Status]]="Family",tblWeeklyMarkets[[#This Row],[Market Status]]="Personal",tblWeeklyMarkets[[#This Row],[Market Status]]="Illness",tblWeeklyMarkets[[#This Row],[Market Status]]="Emergency"),"Excluded","Not Attended"))</f>
        <v/>
      </c>
      <c r="I6" s="20">
        <f>SUMPRODUCT(--(tblMarketMaster[Market]=tblWeeklyMarkets[[#This Row],[Market]]),--(tblMarketMaster[Start Date]&lt;=tblWeeklyMarkets[[#This Row],[Market Date]]),--(IF(tblMarketMaster[End Date]="",DATE(9999,12,31),tblMarketMaster[End Date])&gt;=tblWeeklyMarkets[[#This Row],[Market Date]]))</f>
        <v/>
      </c>
      <c r="J6" s="25">
        <f>IF(tblWeeklyMarkets[[#This Row],[Attendance Category]]&lt;&gt;"Attended",0,IF(tblWeeklyMarkets[[#This Row],[Market Match Count]]&lt;&gt;1,"",_xlfn.XLOOKUP(1,(tblMarketMaster[Market]=tblWeeklyMarkets[[#This Row],[Market]])*(tblMarketMaster[Start Date]&lt;=tblWeeklyMarkets[[#This Row],[Market Date]])*(IF(tblMarketMaster[End Date]="",DATE(9999,12,31),tblMarketMaster[End Date])&gt;=tblWeeklyMarkets[[#This Row],[Market Date]]),tblMarketMaster[Market Fee],"")))</f>
        <v/>
      </c>
      <c r="K6" s="20">
        <f>IF(tblWeeklyMarkets[[#This Row],[Attendance Category]]&lt;&gt;"Attended",0,IF(tblWeeklyMarkets[[#This Row],[Override Miles]]&lt;&gt;"",tblWeeklyMarkets[[#This Row],[Override Miles]],IF(tblWeeklyMarkets[[#This Row],[Market Match Count]]&lt;&gt;1,"",_xlfn.XLOOKUP(1,(tblMarketMaster[Market]=tblWeeklyMarkets[[#This Row],[Market]])*(tblMarketMaster[Start Date]&lt;=tblWeeklyMarkets[[#This Row],[Market Date]])*(IF(tblMarketMaster[End Date]="",DATE(9999,12,31),tblMarketMaster[End Date])&gt;=tblWeeklyMarkets[[#This Row],[Market Date]]),tblMarketMaster[Default Round Trip Miles],""))))</f>
        <v/>
      </c>
      <c r="L6" s="25">
        <f>IFERROR(tblWeeklyMarkets[[#This Row],[Actual Miles]]*MileageRate,0)</f>
        <v/>
      </c>
      <c r="M6" s="20">
        <f>COUNTIFS(tblSalesData[Sale Timestamp],"&gt;="&amp;tblWeeklyMarkets[[#This Row],[Market Date]],tblSalesData[Sale Timestamp],"&lt;"&amp;(tblWeeklyMarkets[[#This Row],[Market Date]]+1),tblSalesData[Test Record],tblWeeklyMarkets[[#This Row],[Test Record]])</f>
        <v/>
      </c>
      <c r="N6" s="20">
        <f>IF(tblWeeklyMarkets[[#This Row],[Attendance Category]]="Excluded","EXCLUDED",IF(tblWeeklyMarkets[[#This Row],[Attendance Category]]&lt;&gt;"Attended","NOT EXPECTED",IF(tblWeeklyMarkets[[#This Row],[Imported Sales Rows]]&gt;0,"IMPORTED","SALES DATA NOT IMPORTED")))</f>
        <v/>
      </c>
      <c r="O6" s="6" t="inlineStr">
        <is>
          <t>Yes</t>
        </is>
      </c>
    </row>
    <row r="7">
      <c r="J7" s="29" t="n"/>
      <c r="L7" s="29" t="n"/>
    </row>
    <row r="8">
      <c r="J8" s="29" t="n"/>
      <c r="L8" s="29" t="n"/>
    </row>
    <row r="9">
      <c r="J9" s="29" t="n"/>
      <c r="L9" s="29" t="n"/>
    </row>
    <row r="10">
      <c r="A10" s="11" t="inlineStr">
        <is>
          <t>Production Exceptions</t>
        </is>
      </c>
      <c r="J10" s="29" t="n"/>
      <c r="L10" s="29" t="n"/>
    </row>
    <row r="11">
      <c r="A11" s="11" t="inlineStr">
        <is>
          <t>Week Start</t>
        </is>
      </c>
      <c r="B11" s="11" t="inlineStr">
        <is>
          <t>Variation ID</t>
        </is>
      </c>
      <c r="C11" s="11" t="inlineStr">
        <is>
          <t>Product Name</t>
        </is>
      </c>
      <c r="D11" s="11" t="inlineStr">
        <is>
          <t>Quantity Made</t>
        </is>
      </c>
      <c r="E11" s="11" t="inlineStr">
        <is>
          <t>Samples Given</t>
        </is>
      </c>
      <c r="F11" s="11" t="inlineStr">
        <is>
          <t>Notes</t>
        </is>
      </c>
      <c r="G11" s="11" t="inlineStr">
        <is>
          <t>Test Record</t>
        </is>
      </c>
      <c r="J11" s="29" t="n"/>
      <c r="L11" s="29" t="n"/>
    </row>
    <row r="12">
      <c r="A12" s="24" t="n">
        <v>46027</v>
      </c>
      <c r="B12" s="6" t="inlineStr">
        <is>
          <t>TEST-VAR001</t>
        </is>
      </c>
      <c r="C12" s="6" t="inlineStr">
        <is>
          <t>Test Jam 8 oz</t>
        </is>
      </c>
      <c r="D12" s="6" t="n">
        <v>20</v>
      </c>
      <c r="E12" s="6" t="n">
        <v>2</v>
      </c>
      <c r="F12" s="6" t="inlineStr">
        <is>
          <t>Fixture</t>
        </is>
      </c>
      <c r="G12" s="6" t="inlineStr">
        <is>
          <t>Yes</t>
        </is>
      </c>
      <c r="J12" s="29" t="n"/>
      <c r="L12" s="29" t="n"/>
    </row>
    <row r="13">
      <c r="J13" s="29" t="n"/>
      <c r="L13" s="29" t="n"/>
    </row>
    <row r="14">
      <c r="J14" s="29" t="n"/>
      <c r="L14" s="29" t="n"/>
    </row>
    <row r="15">
      <c r="J15" s="29" t="n"/>
      <c r="L15" s="29" t="n"/>
    </row>
    <row r="16">
      <c r="A16" s="11" t="inlineStr">
        <is>
          <t>Purchase Date</t>
        </is>
      </c>
      <c r="B16" s="11" t="inlineStr">
        <is>
          <t>Purchase Type</t>
        </is>
      </c>
      <c r="C16" s="11" t="inlineStr">
        <is>
          <t>Store</t>
        </is>
      </c>
      <c r="D16" s="11" t="inlineStr">
        <is>
          <t>Receipt ID</t>
        </is>
      </c>
      <c r="E16" s="11" t="inlineStr">
        <is>
          <t>Ingredient</t>
        </is>
      </c>
      <c r="F16" s="11" t="inlineStr">
        <is>
          <t>Quantity</t>
        </is>
      </c>
      <c r="G16" s="11" t="inlineStr">
        <is>
          <t>Unit</t>
        </is>
      </c>
      <c r="H16" s="11" t="inlineStr">
        <is>
          <t>Total Cost</t>
        </is>
      </c>
      <c r="I16" s="11" t="inlineStr">
        <is>
          <t>Notes</t>
        </is>
      </c>
      <c r="J16" s="27" t="inlineStr">
        <is>
          <t>Validation</t>
        </is>
      </c>
      <c r="K16" s="11" t="inlineStr">
        <is>
          <t>Test Record</t>
        </is>
      </c>
      <c r="L16" s="29" t="n"/>
    </row>
    <row r="17">
      <c r="A17" s="24" t="n">
        <v>46027</v>
      </c>
      <c r="B17" s="6" t="inlineStr">
        <is>
          <t>Item</t>
        </is>
      </c>
      <c r="C17" s="6" t="inlineStr">
        <is>
          <t>Test Store</t>
        </is>
      </c>
      <c r="D17" s="6" t="inlineStr">
        <is>
          <t>R-TEST-1</t>
        </is>
      </c>
      <c r="E17" s="6" t="inlineStr">
        <is>
          <t>Sugar</t>
        </is>
      </c>
      <c r="F17" s="6" t="n">
        <v>25</v>
      </c>
      <c r="G17" s="6" t="inlineStr">
        <is>
          <t>lb</t>
        </is>
      </c>
      <c r="H17" s="30" t="n">
        <v>18</v>
      </c>
      <c r="I17" s="6" t="inlineStr">
        <is>
          <t>Fixture</t>
        </is>
      </c>
      <c r="J17" s="25">
        <f>IF(AND(tblIngredientPurchases[[#This Row],[Purchase Type]]="Item",OR(tblIngredientPurchases[[#This Row],[Ingredient]]="",tblIngredientPurchases[[#This Row],[Quantity]]="")),"INCOMPLETE","OK")</f>
        <v/>
      </c>
      <c r="K17" s="6" t="inlineStr">
        <is>
          <t>Yes</t>
        </is>
      </c>
      <c r="L17" s="29" t="n"/>
    </row>
    <row r="18">
      <c r="H18" s="29" t="n"/>
      <c r="J18" s="29" t="n"/>
      <c r="L18" s="29" t="n"/>
    </row>
    <row r="19">
      <c r="H19" s="29" t="n"/>
      <c r="J19" s="29" t="n"/>
      <c r="L19" s="29" t="n"/>
    </row>
    <row r="20">
      <c r="H20" s="29" t="n"/>
      <c r="J20" s="29" t="n"/>
      <c r="L20" s="29" t="n"/>
    </row>
    <row r="21">
      <c r="A21" s="11" t="inlineStr">
        <is>
          <t>Date</t>
        </is>
      </c>
      <c r="B21" s="11" t="inlineStr">
        <is>
          <t>Category</t>
        </is>
      </c>
      <c r="C21" s="11" t="inlineStr">
        <is>
          <t>Amount</t>
        </is>
      </c>
      <c r="D21" s="11" t="inlineStr">
        <is>
          <t>Description</t>
        </is>
      </c>
      <c r="E21" s="11" t="inlineStr">
        <is>
          <t>Test Record</t>
        </is>
      </c>
      <c r="H21" s="29" t="n"/>
      <c r="J21" s="29" t="n"/>
      <c r="L21" s="29" t="n"/>
    </row>
    <row r="22">
      <c r="A22" s="24" t="n">
        <v>46027</v>
      </c>
      <c r="B22" s="6" t="inlineStr">
        <is>
          <t>Packaging</t>
        </is>
      </c>
      <c r="C22" s="30" t="n">
        <v>12</v>
      </c>
      <c r="D22" s="6" t="inlineStr">
        <is>
          <t>Fixture</t>
        </is>
      </c>
      <c r="E22" s="6" t="inlineStr">
        <is>
          <t>Yes</t>
        </is>
      </c>
      <c r="H22" s="29" t="n"/>
      <c r="J22" s="29" t="n"/>
      <c r="L22" s="29" t="n"/>
    </row>
  </sheetData>
  <mergeCells count="1">
    <mergeCell ref="A1:H1"/>
  </mergeCells>
  <dataValidations count="3">
    <dataValidation sqref="D5:D500" showDropDown="0" showInputMessage="0" showErrorMessage="0" allowBlank="0" type="list">
      <formula1>"Attended,Partial Day,Missed,Market Cancelled,Business Closed,Vacation,Family,Personal,Illness,Emergency"</formula1>
    </dataValidation>
    <dataValidation sqref="E5:E500" showDropDown="0" showInputMessage="0" showErrorMessage="0" allowBlank="1" type="list">
      <formula1>"Excellent,Good,Average,Poor,Terrible"</formula1>
    </dataValidation>
    <dataValidation sqref="B17:B500" showDropDown="0" showInputMessage="0" showErrorMessage="0" allowBlank="0" type="list">
      <formula1>"Receipt,Item"</formula1>
    </dataValidation>
  </dataValidations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4.xml><?xml version="1.0" encoding="utf-8"?>
<worksheet xmlns="http://schemas.openxmlformats.org/spreadsheetml/2006/main">
  <sheetPr>
    <tabColor rgb="005B9BD5"/>
    <outlinePr summaryBelow="1" summaryRight="1"/>
    <pageSetUpPr/>
  </sheetPr>
  <dimension ref="A1:N7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18" customWidth="1" style="7" min="2" max="2"/>
    <col width="30" customWidth="1" style="7" min="3" max="3"/>
    <col width="18" customWidth="1" style="7" min="4" max="4"/>
    <col width="15" customWidth="1" style="7" min="5" max="5"/>
    <col width="18" customWidth="1" style="7" min="6" max="6"/>
    <col width="18" customWidth="1" style="7" min="7" max="7"/>
    <col width="15" customWidth="1" style="7" min="8" max="8"/>
    <col width="17" customWidth="1" style="7" min="9" max="9"/>
    <col width="15" customWidth="1" style="7" min="10" max="10"/>
    <col width="20" customWidth="1" style="7" min="11" max="11"/>
    <col width="28" customWidth="1" style="7" min="12" max="12"/>
    <col width="20" customWidth="1" style="7" min="13" max="13"/>
    <col width="12" customWidth="1" style="7" min="14" max="14"/>
  </cols>
  <sheetData>
    <row r="1" ht="24" customHeight="1" s="7">
      <c r="A1" s="1" t="inlineStr">
        <is>
          <t>PRODUCT SETUP</t>
        </is>
      </c>
    </row>
    <row r="3">
      <c r="A3" s="11" t="inlineStr">
        <is>
          <t>Variation ID</t>
        </is>
      </c>
      <c r="B3" s="11" t="inlineStr">
        <is>
          <t>Item ID</t>
        </is>
      </c>
      <c r="C3" s="11" t="inlineStr">
        <is>
          <t>Product Name</t>
        </is>
      </c>
      <c r="D3" s="11" t="inlineStr">
        <is>
          <t>Variation Name</t>
        </is>
      </c>
      <c r="E3" s="11" t="inlineStr">
        <is>
          <t>Shelf Stable</t>
        </is>
      </c>
      <c r="F3" s="11" t="inlineStr">
        <is>
          <t>Spoils If Unsold</t>
        </is>
      </c>
      <c r="G3" s="11" t="inlineStr">
        <is>
          <t>Product Group</t>
        </is>
      </c>
      <c r="H3" s="11" t="inlineStr">
        <is>
          <t>Product Active</t>
        </is>
      </c>
      <c r="I3" s="11" t="inlineStr">
        <is>
          <t>Recipe Complete</t>
        </is>
      </c>
      <c r="J3" s="11" t="inlineStr">
        <is>
          <t>Cost Complete</t>
        </is>
      </c>
      <c r="K3" s="11" t="inlineStr">
        <is>
          <t>Product Status</t>
        </is>
      </c>
      <c r="L3" s="11" t="inlineStr">
        <is>
          <t>Missing Items</t>
        </is>
      </c>
      <c r="M3" s="11" t="inlineStr">
        <is>
          <t>Effective Product Cost</t>
        </is>
      </c>
      <c r="N3" s="11" t="inlineStr">
        <is>
          <t>Test Record</t>
        </is>
      </c>
    </row>
    <row r="4">
      <c r="A4" s="6" t="inlineStr">
        <is>
          <t>TEST-VAR001</t>
        </is>
      </c>
      <c r="B4" s="6" t="inlineStr">
        <is>
          <t>TEST-ITEM1</t>
        </is>
      </c>
      <c r="C4" s="6" t="inlineStr">
        <is>
          <t>Test Strawberry Jam</t>
        </is>
      </c>
      <c r="D4" s="6" t="inlineStr">
        <is>
          <t>8 oz</t>
        </is>
      </c>
      <c r="E4" s="6" t="inlineStr">
        <is>
          <t>Yes</t>
        </is>
      </c>
      <c r="F4" s="6" t="inlineStr">
        <is>
          <t>Yes</t>
        </is>
      </c>
      <c r="G4" s="6" t="inlineStr">
        <is>
          <t>Jam</t>
        </is>
      </c>
      <c r="H4" s="6" t="inlineStr">
        <is>
          <t>Yes</t>
        </is>
      </c>
      <c r="I4" s="6" t="inlineStr">
        <is>
          <t>Yes</t>
        </is>
      </c>
      <c r="J4" s="6" t="inlineStr">
        <is>
          <t>Yes</t>
        </is>
      </c>
      <c r="K4" s="6" t="inlineStr">
        <is>
          <t>READY</t>
        </is>
      </c>
      <c r="L4" s="6" t="inlineStr"/>
      <c r="M4" s="30" t="n">
        <v>2.15</v>
      </c>
      <c r="N4" s="6" t="inlineStr">
        <is>
          <t>Yes</t>
        </is>
      </c>
    </row>
    <row r="5">
      <c r="A5" s="6" t="inlineStr">
        <is>
          <t>TEST-VAR002</t>
        </is>
      </c>
      <c r="B5" s="6" t="inlineStr">
        <is>
          <t>TEST-ITEM1</t>
        </is>
      </c>
      <c r="C5" s="6" t="inlineStr">
        <is>
          <t>Test Strawberry Jam</t>
        </is>
      </c>
      <c r="D5" s="6" t="inlineStr">
        <is>
          <t>16 oz</t>
        </is>
      </c>
      <c r="E5" s="6" t="inlineStr">
        <is>
          <t>Yes</t>
        </is>
      </c>
      <c r="F5" s="6" t="inlineStr">
        <is>
          <t>No</t>
        </is>
      </c>
      <c r="G5" s="6" t="inlineStr">
        <is>
          <t>Jam</t>
        </is>
      </c>
      <c r="H5" s="6" t="inlineStr">
        <is>
          <t>Yes</t>
        </is>
      </c>
      <c r="I5" s="6" t="inlineStr">
        <is>
          <t>Yes</t>
        </is>
      </c>
      <c r="J5" s="6" t="inlineStr">
        <is>
          <t>No</t>
        </is>
      </c>
      <c r="K5" s="6" t="inlineStr">
        <is>
          <t>SETUP REQUIRED</t>
        </is>
      </c>
      <c r="L5" s="6" t="inlineStr">
        <is>
          <t>Cost</t>
        </is>
      </c>
      <c r="M5" s="30" t="inlineStr"/>
      <c r="N5" s="6" t="inlineStr">
        <is>
          <t>Yes</t>
        </is>
      </c>
    </row>
    <row r="6">
      <c r="A6" s="6" t="inlineStr">
        <is>
          <t>TEST-VAR003</t>
        </is>
      </c>
      <c r="B6" s="6" t="inlineStr">
        <is>
          <t>TEST-ITEM2</t>
        </is>
      </c>
      <c r="C6" s="6" t="inlineStr">
        <is>
          <t>Test Fresh Bread</t>
        </is>
      </c>
      <c r="D6" s="6" t="inlineStr">
        <is>
          <t>Regular</t>
        </is>
      </c>
      <c r="E6" s="6" t="inlineStr">
        <is>
          <t>No</t>
        </is>
      </c>
      <c r="F6" s="6" t="inlineStr">
        <is>
          <t>Yes</t>
        </is>
      </c>
      <c r="G6" s="6" t="inlineStr">
        <is>
          <t>Fresh</t>
        </is>
      </c>
      <c r="H6" s="6" t="inlineStr">
        <is>
          <t>Yes</t>
        </is>
      </c>
      <c r="I6" s="6" t="inlineStr">
        <is>
          <t>No</t>
        </is>
      </c>
      <c r="J6" s="6" t="inlineStr">
        <is>
          <t>Yes</t>
        </is>
      </c>
      <c r="K6" s="6" t="inlineStr">
        <is>
          <t>SETUP REQUIRED</t>
        </is>
      </c>
      <c r="L6" s="6" t="inlineStr">
        <is>
          <t>Recipe</t>
        </is>
      </c>
      <c r="M6" s="30" t="n">
        <v>1.5</v>
      </c>
      <c r="N6" s="6" t="inlineStr">
        <is>
          <t>Yes</t>
        </is>
      </c>
    </row>
    <row r="7">
      <c r="A7" s="6" t="inlineStr">
        <is>
          <t>TEST-VAR004</t>
        </is>
      </c>
      <c r="B7" s="6" t="inlineStr">
        <is>
          <t>TEST-ITEM3</t>
        </is>
      </c>
      <c r="C7" s="6" t="inlineStr">
        <is>
          <t>Test Hot Honey</t>
        </is>
      </c>
      <c r="D7" s="6" t="inlineStr">
        <is>
          <t>Regular</t>
        </is>
      </c>
      <c r="E7" s="6" t="inlineStr">
        <is>
          <t>Yes</t>
        </is>
      </c>
      <c r="F7" s="6" t="inlineStr">
        <is>
          <t>Yes</t>
        </is>
      </c>
      <c r="G7" s="6" t="inlineStr">
        <is>
          <t>Honey</t>
        </is>
      </c>
      <c r="H7" s="6" t="inlineStr">
        <is>
          <t>Yes</t>
        </is>
      </c>
      <c r="I7" s="6" t="inlineStr">
        <is>
          <t>No</t>
        </is>
      </c>
      <c r="J7" s="6" t="inlineStr">
        <is>
          <t>No</t>
        </is>
      </c>
      <c r="K7" s="6" t="inlineStr">
        <is>
          <t>CONFIGURE PRODUCT</t>
        </is>
      </c>
      <c r="L7" s="6" t="inlineStr">
        <is>
          <t>Recipe, Cost</t>
        </is>
      </c>
      <c r="M7" s="30" t="inlineStr"/>
      <c r="N7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5B9BD5"/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28" customWidth="1" style="7" min="1" max="1"/>
    <col width="24" customWidth="1" style="7" min="2" max="2"/>
    <col width="28" customWidth="1" style="7" min="4" max="4"/>
    <col width="24" customWidth="1" style="7" min="5" max="5"/>
    <col width="28" customWidth="1" style="7" min="7" max="7"/>
    <col width="24" customWidth="1" style="7" min="8" max="8"/>
    <col width="28" customWidth="1" style="7" min="10" max="10"/>
    <col width="24" customWidth="1" style="7" min="11" max="11"/>
  </cols>
  <sheetData>
    <row r="1" ht="24" customHeight="1" s="7">
      <c r="A1" s="1" t="inlineStr">
        <is>
          <t>OPERATIONS DASHBOARD</t>
        </is>
      </c>
    </row>
    <row r="3">
      <c r="A3" s="11" t="inlineStr">
        <is>
          <t>Import Health</t>
        </is>
      </c>
      <c r="D3" s="11" t="inlineStr">
        <is>
          <t>Product Health</t>
        </is>
      </c>
      <c r="G3" s="11" t="inlineStr">
        <is>
          <t>Inventory Health</t>
        </is>
      </c>
      <c r="J3" s="11" t="inlineStr">
        <is>
          <t>Market Master Health</t>
        </is>
      </c>
    </row>
    <row r="4">
      <c r="A4" s="6" t="inlineStr">
        <is>
          <t>Workbook Health</t>
        </is>
      </c>
      <c r="B4" s="20">
        <f>_xlfn.IFS(B5&gt;0,"SALES DATA NOT IMPORTED",E6&gt;0,"PRODUCT SETUP REQUIRED",K5&gt;0,"MARKET MASTER REVIEW REQUIRED",H6&gt;0,"INVENTORY REVIEW REQUIRED",TRUE,"WORKBOOK HEALTHY")</f>
        <v/>
      </c>
      <c r="D4" s="6" t="inlineStr">
        <is>
          <t>Products Ready</t>
        </is>
      </c>
      <c r="E4" s="20">
        <f>COUNTIFS(tblProductMaster[Product Status],"READY",tblProductMaster[Test Record],"No")</f>
        <v/>
      </c>
      <c r="G4" s="6" t="inlineStr">
        <is>
          <t>Snapshot Date</t>
        </is>
      </c>
      <c r="H4" s="20">
        <f>IFERROR(_xlfn.MAXIFS(tblInventory[Inventory Date],tblInventory[Test Record],"No"),"")</f>
        <v/>
      </c>
      <c r="J4" s="6" t="inlineStr">
        <is>
          <t>Configuration Issues</t>
        </is>
      </c>
      <c r="K4" s="20">
        <f>COUNTIFS(tblMarketMaster[Overlap Count],"&gt;0",tblMarketMaster[Test Record],"No")+COUNTIFS(tblMarketMaster[Fee Validation],"&lt;&gt;OK",tblMarketMaster[Test Record],"No")+COUNTIFS(tblMarketMaster[Invalid Date Range],"INVALID",tblMarketMaster[Test Record],"No")</f>
        <v/>
      </c>
    </row>
    <row r="5">
      <c r="A5" s="6" t="inlineStr">
        <is>
          <t>Missing Imports</t>
        </is>
      </c>
      <c r="B5" s="20">
        <f>COUNTIFS(tblWeeklyMarkets[Import Status],"SALES DATA NOT IMPORTED",tblWeeklyMarkets[Test Record],"No")</f>
        <v/>
      </c>
      <c r="D5" s="6" t="inlineStr">
        <is>
          <t>Products Requiring Action</t>
        </is>
      </c>
      <c r="E5" s="20">
        <f>COUNTIFS(tblProductMaster[Product Status],"&lt;&gt;READY",tblProductMaster[Test Record],"No")</f>
        <v/>
      </c>
      <c r="G5" s="6" t="inlineStr">
        <is>
          <t>Inventory Movement Errors</t>
        </is>
      </c>
      <c r="H5" s="20">
        <f>COUNTIFS(tblInventory[Validation],"&lt;&gt;OK",tblInventory[Test Record],"No")</f>
        <v/>
      </c>
    </row>
    <row r="6">
      <c r="A6" s="6" t="inlineStr">
        <is>
          <t>Imported Markets</t>
        </is>
      </c>
      <c r="B6" s="20">
        <f>COUNTIFS(tblWeeklyMarkets[Import Status],"IMPORTED",tblWeeklyMarkets[Test Record],"No")</f>
        <v/>
      </c>
      <c r="D6" s="6" t="inlineStr">
        <is>
          <t>Missing Recipes</t>
        </is>
      </c>
      <c r="E6" s="20">
        <f>COUNTIFS(tblProductMaster[Recipe Complete],"No",tblProductMaster[Test Record],"No")</f>
        <v/>
      </c>
      <c r="G6" s="6" t="inlineStr">
        <is>
          <t>Current Inventory Units</t>
        </is>
      </c>
      <c r="H6" s="20">
        <f>_xlfn.LET(Dt,IFERROR(_xlfn.MAXIFS(tblInventory[Inventory Date],tblInventory[Test Record],"No"),0),IF(Dt=0,0,SUMIFS(tblInventory[Ending Inventory],tblInventory[Inventory Date],Dt,tblInventory[Test Record],"No")))</f>
        <v/>
      </c>
    </row>
    <row r="7">
      <c r="A7" s="6" t="inlineStr">
        <is>
          <t>Excluded Markets</t>
        </is>
      </c>
      <c r="B7" s="20">
        <f>COUNTIFS(tblWeeklyMarkets[Import Status],"EXCLUDED",tblWeeklyMarkets[Test Record],"No")</f>
        <v/>
      </c>
      <c r="D7" s="6" t="inlineStr">
        <is>
          <t>Missing Costs</t>
        </is>
      </c>
      <c r="E7" s="20">
        <f>COUNTIFS(tblProductMaster[Cost Complete],"No",tblProductMaster[Test Record],"No")</f>
        <v/>
      </c>
    </row>
    <row r="8">
      <c r="A8" s="6" t="inlineStr">
        <is>
          <t>Last Successful Import</t>
        </is>
      </c>
      <c r="B8" s="20">
        <f>IFERROR(_xlfn.MAXIFS(tblImportLog[Import Timestamp],tblImportLog[Status],"Success",tblImportLog[Test Record],"No"),"")</f>
        <v/>
      </c>
    </row>
  </sheetData>
  <mergeCells count="1">
    <mergeCell ref="A1:H1"/>
  </mergeCells>
  <conditionalFormatting sqref="B4">
    <cfRule type="expression" priority="1" dxfId="0">
      <formula>$B$4="WORKBOOK HEALTHY"</formula>
    </cfRule>
    <cfRule type="expression" priority="2" dxfId="1">
      <formula>$B$4&lt;&gt;"WORKBOOK HEALTHY"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5B9BD5"/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8" customWidth="1" style="7" min="1" max="1"/>
    <col width="25" customWidth="1" style="7" min="2" max="2"/>
    <col width="28" customWidth="1" style="7" min="4" max="4"/>
    <col width="25" customWidth="1" style="7" min="5" max="5"/>
    <col width="28" customWidth="1" style="7" min="7" max="7"/>
    <col width="25" customWidth="1" style="7" min="8" max="8"/>
  </cols>
  <sheetData>
    <row r="1" ht="24" customHeight="1" s="7">
      <c r="A1" s="1" t="inlineStr">
        <is>
          <t>BUSINESS DASHBOARD</t>
        </is>
      </c>
    </row>
    <row r="3">
      <c r="A3" s="11" t="inlineStr">
        <is>
          <t>Weekly Performance</t>
        </is>
      </c>
      <c r="D3" s="11" t="inlineStr">
        <is>
          <t>Rankings</t>
        </is>
      </c>
      <c r="G3" s="11" t="inlineStr">
        <is>
          <t>Setup / Waste</t>
        </is>
      </c>
    </row>
    <row r="4">
      <c r="A4" s="6" t="inlineStr">
        <is>
          <t>Weekly Revenue</t>
        </is>
      </c>
      <c r="B4" s="20">
        <f>SUMIFS(tblSalesData[Gross Sales],tblSalesData[Sale Timestamp],"&gt;="&amp;CurrentWeekStart,tblSalesData[Sale Timestamp],"&lt;"&amp;CurrentWeekEnd+1,tblSalesData[Test Record],"No")</f>
        <v/>
      </c>
      <c r="D4" s="6" t="inlineStr">
        <is>
          <t>Best Product</t>
        </is>
      </c>
      <c r="E4" s="20">
        <f>IFERROR(_xlfn.XLOOKUP(1,(tblProductRankings[Profit Rank]=1)*(tblProductRankings[Test Record]="No"),tblProductRankings[Product Name]),"No ranked products")</f>
        <v/>
      </c>
      <c r="G4" s="6" t="inlineStr">
        <is>
          <t>Product Setup Completion</t>
        </is>
      </c>
      <c r="H4" s="20">
        <f>IFERROR(COUNTIFS(tblProductMaster[Product Status],"READY",tblProductMaster[Test Record],"No")/COUNTIFS(tblProductMaster[Test Record],"No"),0)</f>
        <v/>
      </c>
    </row>
    <row r="5">
      <c r="A5" s="6" t="inlineStr">
        <is>
          <t>Weekly COGS</t>
        </is>
      </c>
      <c r="B5" s="20">
        <f>SUMIFS(tblSalesData[COGS],tblSalesData[Sale Timestamp],"&gt;="&amp;CurrentWeekStart,tblSalesData[Sale Timestamp],"&lt;"&amp;CurrentWeekEnd+1,tblSalesData[Test Record],"No")</f>
        <v/>
      </c>
      <c r="D5" s="6" t="inlineStr">
        <is>
          <t>Best Business Market</t>
        </is>
      </c>
      <c r="E5" s="20">
        <f>IFERROR(_xlfn.XLOOKUP(1,(tblMarketRankings[Business Rank]=1)*(tblMarketRankings[Test Record]="No"),tblMarketRankings[Market]),"No ranked markets")</f>
        <v/>
      </c>
      <c r="G5" s="6" t="inlineStr">
        <is>
          <t>Waste %</t>
        </is>
      </c>
      <c r="H5" s="20">
        <f>IFERROR(SUMIFS(tblInventory[Spoilage],tblInventory[Test Record],"No")/SUMIFS(tblInventory[Available],tblInventory[Test Record],"No"),0)</f>
        <v/>
      </c>
    </row>
    <row r="6">
      <c r="A6" s="6" t="inlineStr">
        <is>
          <t>Weekly Market Fees</t>
        </is>
      </c>
      <c r="B6" s="20">
        <f>SUMIFS(tblWeeklyMarkets[Market Fee],tblWeeklyMarkets[Market Date],"&gt;="&amp;CurrentWeekStart,tblWeeklyMarkets[Market Date],"&lt;="&amp;CurrentWeekEnd,tblWeeklyMarkets[Attendance Category],"Attended",tblWeeklyMarkets[Test Record],"No")</f>
        <v/>
      </c>
      <c r="D6" s="6" t="inlineStr">
        <is>
          <t>Best Travel-Adjusted Market</t>
        </is>
      </c>
      <c r="E6" s="20">
        <f>IFERROR(_xlfn.XLOOKUP(1,(tblMarketRankings[Personal Rank]=1)*(tblMarketRankings[Test Record]="No"),tblMarketRankings[Market]),"No ranked markets")</f>
        <v/>
      </c>
      <c r="G6" s="6" t="inlineStr">
        <is>
          <t>Inventory As Of</t>
        </is>
      </c>
      <c r="H6" s="20">
        <f>IFERROR(_xlfn.MAXIFS(tblInventory[Inventory Date],tblInventory[Test Record],"No"),"")</f>
        <v/>
      </c>
    </row>
    <row r="7">
      <c r="A7" s="6" t="inlineStr">
        <is>
          <t>Weekly Travel Cost</t>
        </is>
      </c>
      <c r="B7" s="20">
        <f>SUMIFS(tblWeeklyMarkets[Travel Cost],tblWeeklyMarkets[Market Date],"&gt;="&amp;CurrentWeekStart,tblWeeklyMarkets[Market Date],"&lt;="&amp;CurrentWeekEnd,tblWeeklyMarkets[Attendance Category],"Attended",tblWeeklyMarkets[Test Record],"No")</f>
        <v/>
      </c>
      <c r="D7" s="6" t="inlineStr">
        <is>
          <t>Ranked Markets</t>
        </is>
      </c>
      <c r="E7" s="20">
        <f>COUNTIFS(tblMarketRankings[Eligibility],"Eligible",tblMarketRankings[Test Record],"No")</f>
        <v/>
      </c>
    </row>
    <row r="8">
      <c r="A8" s="6" t="inlineStr">
        <is>
          <t>Weekly Square Fees</t>
        </is>
      </c>
      <c r="B8" s="20">
        <f>SUMIFS(tblSalesData[Square Fee],tblSalesData[Sale Timestamp],"&gt;="&amp;CurrentWeekStart,tblSalesData[Sale Timestamp],"&lt;"&amp;CurrentWeekEnd+1,tblSalesData[Test Record],"No")</f>
        <v/>
      </c>
      <c r="D8" s="6" t="inlineStr">
        <is>
          <t>Not Ranked Markets</t>
        </is>
      </c>
      <c r="E8" s="20">
        <f>COUNTIFS(tblMarketRankings[Eligibility],"Not Ranked",tblMarketRankings[Test Record],"No")</f>
        <v/>
      </c>
    </row>
    <row r="9">
      <c r="A9" s="6" t="inlineStr">
        <is>
          <t>Weekly Other Expenses</t>
        </is>
      </c>
      <c r="B9" s="20">
        <f>SUMIFS(tblExpenses[Amount],tblExpenses[Date],"&gt;="&amp;CurrentWeekStart,tblExpenses[Date],"&lt;="&amp;CurrentWeekEnd,tblExpenses[Test Record],"No")</f>
        <v/>
      </c>
    </row>
    <row r="10">
      <c r="A10" s="6" t="inlineStr">
        <is>
          <t>Weekly Profit</t>
        </is>
      </c>
      <c r="B10" s="20">
        <f>B4-B5-B6-B7-B8-B9</f>
        <v/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5B9BD5"/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12" customWidth="1" style="7" min="1" max="1"/>
    <col width="20" customWidth="1" style="7" min="2" max="2"/>
    <col width="22" customWidth="1" style="7" min="3" max="3"/>
    <col width="15" customWidth="1" style="7" min="4" max="4"/>
    <col width="22" customWidth="1" style="7" min="5" max="5"/>
    <col width="22" customWidth="1" style="7" min="6" max="6"/>
    <col width="12" customWidth="1" style="7" min="7" max="7"/>
    <col width="35" customWidth="1" style="7" min="8" max="8"/>
  </cols>
  <sheetData>
    <row r="1" ht="24" customHeight="1" s="7">
      <c r="A1" s="1" t="inlineStr">
        <is>
          <t>TESTING</t>
        </is>
      </c>
    </row>
    <row r="2">
      <c r="D2" s="19" t="n"/>
    </row>
    <row r="3">
      <c r="A3" s="11" t="inlineStr">
        <is>
          <t>Test ID</t>
        </is>
      </c>
      <c r="B3" s="11" t="inlineStr">
        <is>
          <t>Test Area</t>
        </is>
      </c>
      <c r="C3" s="11" t="inlineStr">
        <is>
          <t>Test Key</t>
        </is>
      </c>
      <c r="D3" s="17" t="inlineStr">
        <is>
          <t>Test Date</t>
        </is>
      </c>
      <c r="E3" s="11" t="inlineStr">
        <is>
          <t>Expected Result</t>
        </is>
      </c>
      <c r="F3" s="11" t="inlineStr">
        <is>
          <t>Actual Result</t>
        </is>
      </c>
      <c r="G3" s="11" t="inlineStr">
        <is>
          <t>Status</t>
        </is>
      </c>
      <c r="H3" s="11" t="inlineStr">
        <is>
          <t>Notes</t>
        </is>
      </c>
      <c r="J3" s="6" t="inlineStr">
        <is>
          <t>Release Status</t>
        </is>
      </c>
      <c r="K3" s="20">
        <f>IF(COUNTIF(tblTesting[Status],"FAIL")=0,"READY FOR PRODUCTION","TEST FAILURES EXIST")</f>
        <v/>
      </c>
    </row>
    <row r="4">
      <c r="A4" s="6" t="inlineStr">
        <is>
          <t>T020</t>
        </is>
      </c>
      <c r="B4" s="6" t="inlineStr">
        <is>
          <t>Mileage</t>
        </is>
      </c>
      <c r="C4" s="6" t="inlineStr">
        <is>
          <t>TEST-MKT-01</t>
        </is>
      </c>
      <c r="D4" s="19" t="n"/>
      <c r="E4" s="6" t="n">
        <v>84</v>
      </c>
      <c r="F4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4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4" s="6" t="inlineStr">
        <is>
          <t>Default mileage</t>
        </is>
      </c>
      <c r="J4" s="6" t="inlineStr">
        <is>
          <t>Passed</t>
        </is>
      </c>
      <c r="K4" s="20">
        <f>COUNTIF(tblTesting[Status],"PASS")</f>
        <v/>
      </c>
    </row>
    <row r="5">
      <c r="A5" s="6" t="inlineStr">
        <is>
          <t>T022</t>
        </is>
      </c>
      <c r="B5" s="6" t="inlineStr">
        <is>
          <t>Travel Cost</t>
        </is>
      </c>
      <c r="C5" s="6" t="inlineStr">
        <is>
          <t>TEST-MKT-01</t>
        </is>
      </c>
      <c r="D5" s="19" t="n"/>
      <c r="E5" s="6" t="n">
        <v>56.28</v>
      </c>
      <c r="F5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5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5" s="6" t="inlineStr">
        <is>
          <t>84 miles x 0.67</t>
        </is>
      </c>
      <c r="J5" s="6" t="inlineStr">
        <is>
          <t>Failed</t>
        </is>
      </c>
      <c r="K5" s="20">
        <f>COUNTIF(tblTesting[Status],"FAIL")</f>
        <v/>
      </c>
    </row>
    <row r="6">
      <c r="A6" s="6" t="inlineStr">
        <is>
          <t>T030</t>
        </is>
      </c>
      <c r="B6" s="30" t="inlineStr">
        <is>
          <t>Attendance</t>
        </is>
      </c>
      <c r="C6" s="6" t="inlineStr">
        <is>
          <t>TEST-MKT-01</t>
        </is>
      </c>
      <c r="D6" s="19" t="n"/>
      <c r="E6" s="6" t="inlineStr">
        <is>
          <t>Attended</t>
        </is>
      </c>
      <c r="F6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6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6" s="6" t="inlineStr">
        <is>
          <t>Attended category</t>
        </is>
      </c>
    </row>
    <row r="7">
      <c r="A7" s="6" t="inlineStr">
        <is>
          <t>T032</t>
        </is>
      </c>
      <c r="B7" s="30" t="inlineStr">
        <is>
          <t>Attendance</t>
        </is>
      </c>
      <c r="C7" s="6" t="inlineStr">
        <is>
          <t>TEST-MKT-02</t>
        </is>
      </c>
      <c r="D7" s="19" t="n"/>
      <c r="E7" s="6" t="inlineStr">
        <is>
          <t>Excluded</t>
        </is>
      </c>
      <c r="F7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7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7" s="6" t="inlineStr">
        <is>
          <t>Vacation category</t>
        </is>
      </c>
    </row>
    <row r="8">
      <c r="A8" s="6" t="inlineStr">
        <is>
          <t>T050</t>
        </is>
      </c>
      <c r="B8" s="30" t="inlineStr">
        <is>
          <t>Inventory</t>
        </is>
      </c>
      <c r="C8" s="6" t="inlineStr">
        <is>
          <t>TEST-INV-SPOIL</t>
        </is>
      </c>
      <c r="D8" s="19" t="n"/>
      <c r="E8" s="6" t="n">
        <v>3</v>
      </c>
      <c r="F8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8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8" s="6" t="inlineStr">
        <is>
          <t>Auto spoilage</t>
        </is>
      </c>
    </row>
    <row r="9">
      <c r="A9" s="6" t="inlineStr">
        <is>
          <t>T052</t>
        </is>
      </c>
      <c r="B9" s="30" t="inlineStr">
        <is>
          <t>Inventory</t>
        </is>
      </c>
      <c r="C9" s="6" t="inlineStr">
        <is>
          <t>TEST-INV-CARRY</t>
        </is>
      </c>
      <c r="D9" s="19" t="n"/>
      <c r="E9" s="6" t="n">
        <v>3</v>
      </c>
      <c r="F9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9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9" s="6" t="inlineStr">
        <is>
          <t>Carry-forward ending inventory</t>
        </is>
      </c>
    </row>
    <row r="10">
      <c r="A10" s="6" t="inlineStr">
        <is>
          <t>T060</t>
        </is>
      </c>
      <c r="B10" s="30" t="inlineStr">
        <is>
          <t>Ingredient Usage</t>
        </is>
      </c>
      <c r="C10" s="6" t="inlineStr">
        <is>
          <t>TEST-USAGE-1</t>
        </is>
      </c>
      <c r="D10" s="19" t="n"/>
      <c r="E10" s="6" t="n">
        <v>8</v>
      </c>
      <c r="F10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10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10" s="6" t="inlineStr">
        <is>
          <t>20 x 0.4</t>
        </is>
      </c>
    </row>
    <row r="11">
      <c r="A11" s="6" t="inlineStr">
        <is>
          <t>T080</t>
        </is>
      </c>
      <c r="B11" s="30" t="inlineStr">
        <is>
          <t>Product Setup</t>
        </is>
      </c>
      <c r="C11" s="6" t="inlineStr">
        <is>
          <t>TEST-VAR001</t>
        </is>
      </c>
      <c r="D11" s="19" t="n"/>
      <c r="E11" s="6" t="inlineStr">
        <is>
          <t>Yes</t>
        </is>
      </c>
      <c r="F11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11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11" s="6" t="inlineStr">
        <is>
          <t>Cost complete</t>
        </is>
      </c>
    </row>
    <row r="12">
      <c r="A12" s="6" t="inlineStr">
        <is>
          <t>T081</t>
        </is>
      </c>
      <c r="B12" s="30" t="inlineStr">
        <is>
          <t>Product Setup</t>
        </is>
      </c>
      <c r="C12" s="6" t="inlineStr">
        <is>
          <t>TEST-VAR002</t>
        </is>
      </c>
      <c r="D12" s="19" t="n"/>
      <c r="E12" s="6" t="inlineStr">
        <is>
          <t>No</t>
        </is>
      </c>
      <c r="F12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12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12" s="6" t="inlineStr">
        <is>
          <t>Missing cost</t>
        </is>
      </c>
    </row>
    <row r="13">
      <c r="A13" s="6" t="inlineStr">
        <is>
          <t>T082</t>
        </is>
      </c>
      <c r="B13" s="30" t="inlineStr">
        <is>
          <t>Product Cost</t>
        </is>
      </c>
      <c r="C13" s="6" t="inlineStr">
        <is>
          <t>TEST-VAR003</t>
        </is>
      </c>
      <c r="D13" s="19" t="n"/>
      <c r="E13" s="6" t="inlineStr">
        <is>
          <t>REVIEW COST</t>
        </is>
      </c>
      <c r="F13" s="20">
        <f>_xlfn.SWITCH(tblTesting[[#This Row],[Test ID]],"T020",_xlfn.XLOOKUP(tblTesting[[#This Row],[Test Key]],tblWeeklyMarkets[Test Key],tblWeeklyMarkets[Actual Miles],"NOT FOUND"),"T022",_xlfn.XLOOKUP(tblTesting[[#This Row],[Test Key]],tblWeeklyMarkets[Test Key],tblWeeklyMarkets[Travel Cost],"NOT FOUND"),"T030",_xlfn.XLOOKUP(tblTesting[[#This Row],[Test Key]],tblWeeklyMarkets[Test Key],tblWeeklyMarkets[Attendance Category],"NOT FOUND"),"T032",_xlfn.XLOOKUP(tblTesting[[#This Row],[Test Key]],tblWeeklyMarkets[Test Key],tblWeeklyMarkets[Attendance Category],"NOT FOUND"),"T050",_xlfn.XLOOKUP(tblTesting[[#This Row],[Test Key]],tblInventory[Test Key],tblInventory[Spoilage],"NOT FOUND"),"T052",_xlfn.XLOOKUP(tblTesting[[#This Row],[Test Key]],tblInventory[Test Key],tblInventory[Ending Inventory],"NOT FOUND"),"T060",_xlfn.XLOOKUP(tblTesting[[#This Row],[Test Key]],tblIngredientUsage[Test Key],tblIngredientUsage[Quantity Used],"NOT FOUND"),"T080",_xlfn.XLOOKUP(tblTesting[[#This Row],[Test Key]],tblProductMaster[Variation ID],tblProductMaster[Cost Complete],"NOT FOUND"),"T081",_xlfn.XLOOKUP(tblTesting[[#This Row],[Test Key]],tblProductMaster[Variation ID],tblProductMaster[Cost Complete],"NOT FOUND"),"T082",_xlfn.XLOOKUP(tblTesting[[#This Row],[Test Key]],tblProductCosts[Variation ID],tblProductCosts[Cost Review Status],"NOT FOUND"),"TEST NOT DEFINED")</f>
        <v/>
      </c>
      <c r="G13" s="20">
        <f>IF(OR(tblTesting[[#This Row],[Actual Result]]="NOT FOUND",tblTesting[[#This Row],[Actual Result]]="TEST NOT DEFINED"),"FAIL",IF(AND(ISNUMBER(tblTesting[[#This Row],[Expected Result]]),ISNUMBER(tblTesting[[#This Row],[Actual Result]])),IF(ABS(tblTesting[[#This Row],[Expected Result]]-tblTesting[[#This Row],[Actual Result]])&lt;0.01,"PASS","FAIL"),IF(tblTesting[[#This Row],[Expected Result]]=tblTesting[[#This Row],[Actual Result]],"PASS","FAIL")))</f>
        <v/>
      </c>
      <c r="H13" s="6" t="inlineStr">
        <is>
          <t>Old cost</t>
        </is>
      </c>
    </row>
  </sheetData>
  <mergeCells count="1">
    <mergeCell ref="A1:H1"/>
  </mergeCells>
  <conditionalFormatting sqref="G4:G13">
    <cfRule type="expression" priority="1" dxfId="0">
      <formula>$G4="PASS"</formula>
    </cfRule>
    <cfRule type="expression" priority="2" dxfId="2">
      <formula>$G4="FAIL"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4" customWidth="1" style="7" min="1" max="1"/>
    <col width="28" customWidth="1" style="7" min="2" max="2"/>
    <col width="14" customWidth="1" style="7" min="3" max="3"/>
    <col width="10" customWidth="1" style="7" min="4" max="4"/>
    <col width="10" customWidth="1" style="7" min="5" max="5"/>
    <col width="55" customWidth="1" style="7" min="6" max="6"/>
  </cols>
  <sheetData>
    <row r="1" ht="24" customHeight="1" s="7">
      <c r="A1" s="1" t="inlineStr">
        <is>
          <t>DATA DICTIONARY</t>
        </is>
      </c>
    </row>
    <row r="3">
      <c r="A3" s="11" t="inlineStr">
        <is>
          <t>Table</t>
        </is>
      </c>
      <c r="B3" s="11" t="inlineStr">
        <is>
          <t>Column</t>
        </is>
      </c>
      <c r="C3" s="11" t="inlineStr">
        <is>
          <t>Data Type</t>
        </is>
      </c>
      <c r="D3" s="11" t="inlineStr">
        <is>
          <t>Required</t>
        </is>
      </c>
      <c r="E3" s="11" t="inlineStr">
        <is>
          <t>Formula</t>
        </is>
      </c>
      <c r="F3" s="11" t="inlineStr">
        <is>
          <t>Description</t>
        </is>
      </c>
    </row>
    <row r="4">
      <c r="A4" s="6" t="inlineStr">
        <is>
          <t>tblWeeklyMarkets</t>
        </is>
      </c>
      <c r="B4" s="6" t="inlineStr">
        <is>
          <t>Test Key</t>
        </is>
      </c>
      <c r="C4" s="6" t="inlineStr">
        <is>
          <t>Text</t>
        </is>
      </c>
      <c r="D4" s="6" t="inlineStr">
        <is>
          <t>No</t>
        </is>
      </c>
      <c r="E4" s="6" t="inlineStr">
        <is>
          <t>No</t>
        </is>
      </c>
      <c r="F4" s="6" t="inlineStr">
        <is>
          <t>Test fixture identifier</t>
        </is>
      </c>
    </row>
    <row r="5">
      <c r="A5" s="6" t="inlineStr">
        <is>
          <t>tblWeeklyMarkets</t>
        </is>
      </c>
      <c r="B5" s="6" t="inlineStr">
        <is>
          <t>Market Date</t>
        </is>
      </c>
      <c r="C5" s="6" t="inlineStr">
        <is>
          <t>Date</t>
        </is>
      </c>
      <c r="D5" s="6" t="inlineStr">
        <is>
          <t>Yes</t>
        </is>
      </c>
      <c r="E5" s="6" t="inlineStr">
        <is>
          <t>No</t>
        </is>
      </c>
      <c r="F5" s="6" t="inlineStr">
        <is>
          <t>Actual attended/planned date</t>
        </is>
      </c>
    </row>
    <row r="6">
      <c r="A6" s="6" t="inlineStr">
        <is>
          <t>tblWeeklyMarkets</t>
        </is>
      </c>
      <c r="B6" s="6" t="inlineStr">
        <is>
          <t>Market</t>
        </is>
      </c>
      <c r="C6" s="6" t="inlineStr">
        <is>
          <t>Text</t>
        </is>
      </c>
      <c r="D6" s="6" t="inlineStr">
        <is>
          <t>Yes</t>
        </is>
      </c>
      <c r="E6" s="6" t="inlineStr">
        <is>
          <t>No</t>
        </is>
      </c>
      <c r="F6" s="6" t="inlineStr">
        <is>
          <t>Market name</t>
        </is>
      </c>
    </row>
    <row r="7">
      <c r="A7" s="6" t="inlineStr">
        <is>
          <t>tblWeeklyMarkets</t>
        </is>
      </c>
      <c r="B7" s="6" t="inlineStr">
        <is>
          <t>Market Status</t>
        </is>
      </c>
      <c r="C7" s="6" t="inlineStr">
        <is>
          <t>Text</t>
        </is>
      </c>
      <c r="D7" s="6" t="inlineStr">
        <is>
          <t>Yes</t>
        </is>
      </c>
      <c r="E7" s="6" t="inlineStr">
        <is>
          <t>No</t>
        </is>
      </c>
      <c r="F7" s="6" t="inlineStr">
        <is>
          <t>Single user-facing status</t>
        </is>
      </c>
    </row>
    <row r="8">
      <c r="A8" s="6" t="inlineStr">
        <is>
          <t>tblWeeklyMarkets</t>
        </is>
      </c>
      <c r="B8" s="6" t="inlineStr">
        <is>
          <t>Market Day Score</t>
        </is>
      </c>
      <c r="C8" s="6" t="inlineStr">
        <is>
          <t>Text</t>
        </is>
      </c>
      <c r="D8" s="6" t="inlineStr">
        <is>
          <t>No</t>
        </is>
      </c>
      <c r="E8" s="6" t="inlineStr">
        <is>
          <t>No</t>
        </is>
      </c>
      <c r="F8" s="6" t="inlineStr">
        <is>
          <t>Excellent to Terrible</t>
        </is>
      </c>
    </row>
    <row r="9">
      <c r="A9" s="6" t="inlineStr">
        <is>
          <t>tblWeeklyMarkets</t>
        </is>
      </c>
      <c r="B9" s="6" t="inlineStr">
        <is>
          <t>Notes</t>
        </is>
      </c>
      <c r="C9" s="6" t="inlineStr">
        <is>
          <t>Text</t>
        </is>
      </c>
      <c r="D9" s="6" t="inlineStr">
        <is>
          <t>No</t>
        </is>
      </c>
      <c r="E9" s="6" t="inlineStr">
        <is>
          <t>No</t>
        </is>
      </c>
      <c r="F9" s="6" t="inlineStr">
        <is>
          <t>Optional notes</t>
        </is>
      </c>
    </row>
    <row r="10">
      <c r="A10" s="6" t="inlineStr">
        <is>
          <t>tblWeeklyMarkets</t>
        </is>
      </c>
      <c r="B10" s="6" t="inlineStr">
        <is>
          <t>Override Miles</t>
        </is>
      </c>
      <c r="C10" s="6" t="inlineStr">
        <is>
          <t>Number</t>
        </is>
      </c>
      <c r="D10" s="6" t="inlineStr">
        <is>
          <t>No</t>
        </is>
      </c>
      <c r="E10" s="6" t="inlineStr">
        <is>
          <t>No</t>
        </is>
      </c>
      <c r="F10" s="6" t="inlineStr">
        <is>
          <t>Optional exception</t>
        </is>
      </c>
    </row>
    <row r="11">
      <c r="A11" s="6" t="inlineStr">
        <is>
          <t>tblWeeklyMarkets</t>
        </is>
      </c>
      <c r="B11" s="6" t="inlineStr">
        <is>
          <t>Attendance Category</t>
        </is>
      </c>
      <c r="C11" s="6" t="inlineStr">
        <is>
          <t>Text</t>
        </is>
      </c>
      <c r="D11" s="6" t="inlineStr">
        <is>
          <t>No</t>
        </is>
      </c>
      <c r="E11" s="6" t="inlineStr">
        <is>
          <t>Yes</t>
        </is>
      </c>
      <c r="F11" s="6" t="inlineStr">
        <is>
          <t>Derived</t>
        </is>
      </c>
    </row>
    <row r="12">
      <c r="A12" s="6" t="inlineStr">
        <is>
          <t>tblWeeklyMarkets</t>
        </is>
      </c>
      <c r="B12" s="6" t="inlineStr">
        <is>
          <t>Market Match Count</t>
        </is>
      </c>
      <c r="C12" s="6" t="inlineStr">
        <is>
          <t>Number</t>
        </is>
      </c>
      <c r="D12" s="6" t="inlineStr">
        <is>
          <t>No</t>
        </is>
      </c>
      <c r="E12" s="6" t="inlineStr">
        <is>
          <t>Yes</t>
        </is>
      </c>
      <c r="F12" s="6" t="inlineStr">
        <is>
          <t>Effective-date matches</t>
        </is>
      </c>
    </row>
    <row r="13">
      <c r="A13" s="6" t="inlineStr">
        <is>
          <t>tblWeeklyMarkets</t>
        </is>
      </c>
      <c r="B13" s="6" t="inlineStr">
        <is>
          <t>Market Fee</t>
        </is>
      </c>
      <c r="C13" s="6" t="inlineStr">
        <is>
          <t>Currency</t>
        </is>
      </c>
      <c r="D13" s="6" t="inlineStr">
        <is>
          <t>No</t>
        </is>
      </c>
      <c r="E13" s="6" t="inlineStr">
        <is>
          <t>Yes</t>
        </is>
      </c>
      <c r="F13" s="6" t="inlineStr">
        <is>
          <t>Date-effective default</t>
        </is>
      </c>
    </row>
    <row r="14">
      <c r="A14" s="6" t="inlineStr">
        <is>
          <t>tblWeeklyMarkets</t>
        </is>
      </c>
      <c r="B14" s="30" t="inlineStr">
        <is>
          <t>Actual Miles</t>
        </is>
      </c>
      <c r="C14" s="6" t="inlineStr">
        <is>
          <t>Number</t>
        </is>
      </c>
      <c r="D14" s="6" t="inlineStr">
        <is>
          <t>No</t>
        </is>
      </c>
      <c r="E14" s="6" t="inlineStr">
        <is>
          <t>Yes</t>
        </is>
      </c>
      <c r="F14" s="6" t="inlineStr">
        <is>
          <t>Override or default</t>
        </is>
      </c>
    </row>
    <row r="15">
      <c r="A15" s="6" t="inlineStr">
        <is>
          <t>tblWeeklyMarkets</t>
        </is>
      </c>
      <c r="B15" s="30" t="inlineStr">
        <is>
          <t>Travel Cost</t>
        </is>
      </c>
      <c r="C15" s="6" t="inlineStr">
        <is>
          <t>Currency</t>
        </is>
      </c>
      <c r="D15" s="6" t="inlineStr">
        <is>
          <t>No</t>
        </is>
      </c>
      <c r="E15" s="6" t="inlineStr">
        <is>
          <t>Yes</t>
        </is>
      </c>
      <c r="F15" s="6" t="inlineStr">
        <is>
          <t>Miles x mileage rate</t>
        </is>
      </c>
    </row>
    <row r="16">
      <c r="A16" s="6" t="inlineStr">
        <is>
          <t>tblWeeklyMarkets</t>
        </is>
      </c>
      <c r="B16" s="30" t="inlineStr">
        <is>
          <t>Imported Sales Rows</t>
        </is>
      </c>
      <c r="C16" s="6" t="inlineStr">
        <is>
          <t>Number</t>
        </is>
      </c>
      <c r="D16" s="6" t="inlineStr">
        <is>
          <t>No</t>
        </is>
      </c>
      <c r="E16" s="6" t="inlineStr">
        <is>
          <t>Yes</t>
        </is>
      </c>
      <c r="F16" s="6" t="inlineStr">
        <is>
          <t>Timestamp match</t>
        </is>
      </c>
    </row>
    <row r="17">
      <c r="A17" s="6" t="inlineStr">
        <is>
          <t>tblWeeklyMarkets</t>
        </is>
      </c>
      <c r="B17" s="30" t="inlineStr">
        <is>
          <t>Import Status</t>
        </is>
      </c>
      <c r="C17" s="6" t="inlineStr">
        <is>
          <t>Text</t>
        </is>
      </c>
      <c r="D17" s="6" t="inlineStr">
        <is>
          <t>No</t>
        </is>
      </c>
      <c r="E17" s="6" t="inlineStr">
        <is>
          <t>Yes</t>
        </is>
      </c>
      <c r="F17" s="6" t="inlineStr">
        <is>
          <t>Imported/missing/not expected/excluded</t>
        </is>
      </c>
    </row>
    <row r="18">
      <c r="A18" s="6" t="inlineStr">
        <is>
          <t>tblWeeklyMarkets</t>
        </is>
      </c>
      <c r="B18" s="30" t="inlineStr">
        <is>
          <t>Test Record</t>
        </is>
      </c>
      <c r="C18" s="6" t="inlineStr">
        <is>
          <t>Yes/No</t>
        </is>
      </c>
      <c r="D18" s="6" t="inlineStr">
        <is>
          <t>Yes</t>
        </is>
      </c>
      <c r="E18" s="6" t="inlineStr">
        <is>
          <t>No</t>
        </is>
      </c>
      <c r="F18" s="6" t="inlineStr">
        <is>
          <t>Yes excludes from production reporting</t>
        </is>
      </c>
    </row>
    <row r="19">
      <c r="A19" s="6" t="inlineStr">
        <is>
          <t>tblInventory</t>
        </is>
      </c>
      <c r="B19" s="30" t="inlineStr">
        <is>
          <t>Variation ID</t>
        </is>
      </c>
      <c r="C19" s="6" t="inlineStr">
        <is>
          <t>Text</t>
        </is>
      </c>
      <c r="D19" s="6" t="inlineStr">
        <is>
          <t>Yes</t>
        </is>
      </c>
      <c r="E19" s="6" t="inlineStr">
        <is>
          <t>No</t>
        </is>
      </c>
      <c r="F19" s="6" t="inlineStr">
        <is>
          <t>Square variation ID</t>
        </is>
      </c>
    </row>
    <row r="20">
      <c r="A20" s="6" t="inlineStr">
        <is>
          <t>tblInventory</t>
        </is>
      </c>
      <c r="B20" s="30" t="inlineStr">
        <is>
          <t>Inventory Date</t>
        </is>
      </c>
      <c r="C20" s="6" t="inlineStr">
        <is>
          <t>Date</t>
        </is>
      </c>
      <c r="D20" s="6" t="inlineStr">
        <is>
          <t>Yes</t>
        </is>
      </c>
      <c r="E20" s="6" t="inlineStr">
        <is>
          <t>No</t>
        </is>
      </c>
      <c r="F20" s="6" t="inlineStr">
        <is>
          <t>Monday period date</t>
        </is>
      </c>
    </row>
    <row r="21">
      <c r="A21" s="6" t="inlineStr">
        <is>
          <t>tblInventory</t>
        </is>
      </c>
      <c r="B21" s="30" t="inlineStr">
        <is>
          <t>Beginning Inventory</t>
        </is>
      </c>
      <c r="C21" s="6" t="inlineStr">
        <is>
          <t>Number</t>
        </is>
      </c>
      <c r="D21" s="6" t="inlineStr">
        <is>
          <t>No</t>
        </is>
      </c>
      <c r="E21" s="6" t="inlineStr">
        <is>
          <t>Yes</t>
        </is>
      </c>
      <c r="F21" s="6" t="inlineStr">
        <is>
          <t>Prior snapshot</t>
        </is>
      </c>
    </row>
    <row r="22">
      <c r="A22" s="6" t="inlineStr">
        <is>
          <t>tblInventory</t>
        </is>
      </c>
      <c r="B22" s="30" t="inlineStr">
        <is>
          <t>Produced</t>
        </is>
      </c>
      <c r="C22" s="6" t="inlineStr">
        <is>
          <t>Number</t>
        </is>
      </c>
      <c r="D22" s="6" t="inlineStr">
        <is>
          <t>No</t>
        </is>
      </c>
      <c r="E22" s="6" t="inlineStr">
        <is>
          <t>Yes</t>
        </is>
      </c>
      <c r="F22" s="6" t="inlineStr">
        <is>
          <t>Weekly production</t>
        </is>
      </c>
    </row>
    <row r="23">
      <c r="A23" s="6" t="inlineStr">
        <is>
          <t>tblInventory</t>
        </is>
      </c>
      <c r="B23" s="30" t="inlineStr">
        <is>
          <t>Sold</t>
        </is>
      </c>
      <c r="C23" s="6" t="inlineStr">
        <is>
          <t>Number</t>
        </is>
      </c>
      <c r="D23" s="6" t="inlineStr">
        <is>
          <t>No</t>
        </is>
      </c>
      <c r="E23" s="6" t="inlineStr">
        <is>
          <t>Yes</t>
        </is>
      </c>
      <c r="F23" s="6" t="inlineStr">
        <is>
          <t>Square quantity</t>
        </is>
      </c>
    </row>
    <row r="24">
      <c r="A24" s="6" t="inlineStr">
        <is>
          <t>tblInventory</t>
        </is>
      </c>
      <c r="B24" s="30" t="inlineStr">
        <is>
          <t>Samples</t>
        </is>
      </c>
      <c r="C24" s="6" t="inlineStr">
        <is>
          <t>Number</t>
        </is>
      </c>
      <c r="D24" s="6" t="inlineStr">
        <is>
          <t>No</t>
        </is>
      </c>
      <c r="E24" s="6" t="inlineStr">
        <is>
          <t>Yes</t>
        </is>
      </c>
      <c r="F24" s="6" t="inlineStr">
        <is>
          <t>Weekly production</t>
        </is>
      </c>
    </row>
    <row r="25">
      <c r="A25" s="6" t="inlineStr">
        <is>
          <t>tblInventory</t>
        </is>
      </c>
      <c r="B25" s="30" t="inlineStr">
        <is>
          <t>Available</t>
        </is>
      </c>
      <c r="C25" s="6" t="inlineStr">
        <is>
          <t>Number</t>
        </is>
      </c>
      <c r="D25" s="6" t="inlineStr">
        <is>
          <t>No</t>
        </is>
      </c>
      <c r="E25" s="6" t="inlineStr">
        <is>
          <t>Yes</t>
        </is>
      </c>
      <c r="F25" s="6" t="inlineStr">
        <is>
          <t>Beginning + Produced</t>
        </is>
      </c>
    </row>
    <row r="26">
      <c r="A26" s="6" t="inlineStr">
        <is>
          <t>tblInventory</t>
        </is>
      </c>
      <c r="B26" s="30" t="inlineStr">
        <is>
          <t>Inventory Variance</t>
        </is>
      </c>
      <c r="C26" s="6" t="inlineStr">
        <is>
          <t>Number</t>
        </is>
      </c>
      <c r="D26" s="6" t="inlineStr">
        <is>
          <t>No</t>
        </is>
      </c>
      <c r="E26" s="6" t="inlineStr">
        <is>
          <t>Yes</t>
        </is>
      </c>
      <c r="F26" s="6" t="inlineStr">
        <is>
          <t>Available-Sold-Samples</t>
        </is>
      </c>
    </row>
    <row r="27">
      <c r="A27" s="6" t="inlineStr">
        <is>
          <t>tblInventory</t>
        </is>
      </c>
      <c r="B27" s="30" t="inlineStr">
        <is>
          <t>Spoilage</t>
        </is>
      </c>
      <c r="C27" s="6" t="inlineStr">
        <is>
          <t>Number</t>
        </is>
      </c>
      <c r="D27" s="6" t="inlineStr">
        <is>
          <t>No</t>
        </is>
      </c>
      <c r="E27" s="6" t="inlineStr">
        <is>
          <t>Yes</t>
        </is>
      </c>
      <c r="F27" s="6" t="inlineStr">
        <is>
          <t>Automatic for spoilable products</t>
        </is>
      </c>
    </row>
    <row r="28">
      <c r="A28" s="6" t="inlineStr">
        <is>
          <t>tblInventory</t>
        </is>
      </c>
      <c r="B28" s="30" t="inlineStr">
        <is>
          <t>Ending Inventory</t>
        </is>
      </c>
      <c r="C28" s="6" t="inlineStr">
        <is>
          <t>Number</t>
        </is>
      </c>
      <c r="D28" s="6" t="inlineStr">
        <is>
          <t>No</t>
        </is>
      </c>
      <c r="E28" s="6" t="inlineStr">
        <is>
          <t>Yes</t>
        </is>
      </c>
      <c r="F28" s="6" t="inlineStr">
        <is>
          <t>Carry forward or zero</t>
        </is>
      </c>
    </row>
    <row r="29">
      <c r="A29" s="6" t="inlineStr">
        <is>
          <t>tblInventory</t>
        </is>
      </c>
      <c r="B29" s="30" t="inlineStr">
        <is>
          <t>Validation</t>
        </is>
      </c>
      <c r="C29" s="6" t="inlineStr">
        <is>
          <t>Text</t>
        </is>
      </c>
      <c r="D29" s="6" t="inlineStr">
        <is>
          <t>No</t>
        </is>
      </c>
      <c r="E29" s="6" t="inlineStr">
        <is>
          <t>Yes</t>
        </is>
      </c>
      <c r="F29" s="6" t="inlineStr">
        <is>
          <t>Movement check</t>
        </is>
      </c>
    </row>
    <row r="30">
      <c r="A30" s="6" t="inlineStr">
        <is>
          <t>tblInventory</t>
        </is>
      </c>
      <c r="B30" s="30" t="inlineStr">
        <is>
          <t>Test Record</t>
        </is>
      </c>
      <c r="C30" s="6" t="inlineStr">
        <is>
          <t>Yes/No</t>
        </is>
      </c>
      <c r="D30" s="6" t="inlineStr">
        <is>
          <t>Yes</t>
        </is>
      </c>
      <c r="E30" s="6" t="inlineStr">
        <is>
          <t>No</t>
        </is>
      </c>
      <c r="F30" s="6" t="inlineStr">
        <is>
          <t>Test isolation</t>
        </is>
      </c>
    </row>
    <row r="31">
      <c r="A31" s="6" t="inlineStr">
        <is>
          <t>tblMarketMaster</t>
        </is>
      </c>
      <c r="B31" s="30" t="inlineStr">
        <is>
          <t>Market</t>
        </is>
      </c>
      <c r="C31" s="6" t="inlineStr">
        <is>
          <t>Text</t>
        </is>
      </c>
      <c r="D31" s="6" t="inlineStr">
        <is>
          <t>Yes</t>
        </is>
      </c>
      <c r="E31" s="6" t="inlineStr">
        <is>
          <t>No</t>
        </is>
      </c>
      <c r="F31" s="6" t="inlineStr">
        <is>
          <t>Market name</t>
        </is>
      </c>
    </row>
    <row r="32">
      <c r="A32" s="6" t="inlineStr">
        <is>
          <t>tblMarketMaster</t>
        </is>
      </c>
      <c r="B32" s="30" t="inlineStr">
        <is>
          <t>Start Date</t>
        </is>
      </c>
      <c r="C32" s="6" t="inlineStr">
        <is>
          <t>Date</t>
        </is>
      </c>
      <c r="D32" s="6" t="inlineStr">
        <is>
          <t>Yes</t>
        </is>
      </c>
      <c r="E32" s="6" t="inlineStr">
        <is>
          <t>No</t>
        </is>
      </c>
      <c r="F32" s="6" t="inlineStr">
        <is>
          <t>Effective start</t>
        </is>
      </c>
    </row>
    <row r="33">
      <c r="A33" s="6" t="inlineStr">
        <is>
          <t>tblMarketMaster</t>
        </is>
      </c>
      <c r="B33" s="30" t="inlineStr">
        <is>
          <t>End Date</t>
        </is>
      </c>
      <c r="C33" s="6" t="inlineStr">
        <is>
          <t>Date</t>
        </is>
      </c>
      <c r="D33" s="6" t="inlineStr">
        <is>
          <t>No</t>
        </is>
      </c>
      <c r="E33" s="6" t="inlineStr">
        <is>
          <t>No</t>
        </is>
      </c>
      <c r="F33" s="6" t="inlineStr">
        <is>
          <t>Blank=current</t>
        </is>
      </c>
    </row>
    <row r="34">
      <c r="A34" s="6" t="inlineStr">
        <is>
          <t>tblMarketMaster</t>
        </is>
      </c>
      <c r="B34" s="30" t="inlineStr">
        <is>
          <t>Market Fee</t>
        </is>
      </c>
      <c r="C34" s="6" t="inlineStr">
        <is>
          <t>Currency</t>
        </is>
      </c>
      <c r="D34" s="6" t="inlineStr">
        <is>
          <t>Yes</t>
        </is>
      </c>
      <c r="E34" s="6" t="inlineStr">
        <is>
          <t>No</t>
        </is>
      </c>
      <c r="F34" s="6" t="inlineStr">
        <is>
          <t>Zero allowed</t>
        </is>
      </c>
    </row>
    <row r="35">
      <c r="A35" s="6" t="inlineStr">
        <is>
          <t>tblMarketMaster</t>
        </is>
      </c>
      <c r="B35" s="30" t="inlineStr">
        <is>
          <t>Default Round Trip Miles</t>
        </is>
      </c>
      <c r="C35" s="6" t="inlineStr">
        <is>
          <t>Number</t>
        </is>
      </c>
      <c r="D35" s="6" t="inlineStr">
        <is>
          <t>Yes</t>
        </is>
      </c>
      <c r="E35" s="6" t="inlineStr">
        <is>
          <t>No</t>
        </is>
      </c>
      <c r="F35" s="6" t="inlineStr">
        <is>
          <t>Nonnegative</t>
        </is>
      </c>
    </row>
    <row r="36">
      <c r="A36" s="6" t="inlineStr">
        <is>
          <t>tblMarketMaster</t>
        </is>
      </c>
      <c r="B36" s="30" t="inlineStr">
        <is>
          <t>Default Travel Minutes</t>
        </is>
      </c>
      <c r="C36" s="6" t="inlineStr">
        <is>
          <t>Number</t>
        </is>
      </c>
      <c r="D36" s="6" t="inlineStr">
        <is>
          <t>No</t>
        </is>
      </c>
      <c r="E36" s="6" t="inlineStr">
        <is>
          <t>No</t>
        </is>
      </c>
      <c r="F36" s="6" t="inlineStr">
        <is>
          <t>Optional</t>
        </is>
      </c>
    </row>
    <row r="37">
      <c r="A37" s="6" t="inlineStr">
        <is>
          <t>tblMarketMaster</t>
        </is>
      </c>
      <c r="B37" s="30" t="inlineStr">
        <is>
          <t>Active</t>
        </is>
      </c>
      <c r="C37" s="6" t="inlineStr">
        <is>
          <t>Text</t>
        </is>
      </c>
      <c r="D37" s="6" t="inlineStr">
        <is>
          <t>No</t>
        </is>
      </c>
      <c r="E37" s="6" t="inlineStr">
        <is>
          <t>Yes</t>
        </is>
      </c>
      <c r="F37" s="6" t="inlineStr">
        <is>
          <t>Active/Expired</t>
        </is>
      </c>
    </row>
    <row r="38">
      <c r="A38" s="6" t="inlineStr">
        <is>
          <t>tblMarketMaster</t>
        </is>
      </c>
      <c r="B38" s="30" t="inlineStr">
        <is>
          <t>Invalid Date Range</t>
        </is>
      </c>
      <c r="C38" s="6" t="inlineStr">
        <is>
          <t>Text</t>
        </is>
      </c>
      <c r="D38" s="6" t="inlineStr">
        <is>
          <t>No</t>
        </is>
      </c>
      <c r="E38" s="6" t="inlineStr">
        <is>
          <t>Yes</t>
        </is>
      </c>
      <c r="F38" s="6" t="inlineStr">
        <is>
          <t>Validation</t>
        </is>
      </c>
    </row>
    <row r="39">
      <c r="A39" s="6" t="inlineStr">
        <is>
          <t>tblMarketMaster</t>
        </is>
      </c>
      <c r="B39" s="30" t="inlineStr">
        <is>
          <t>Fee Validation</t>
        </is>
      </c>
      <c r="C39" s="6" t="inlineStr">
        <is>
          <t>Text</t>
        </is>
      </c>
      <c r="D39" s="6" t="inlineStr">
        <is>
          <t>No</t>
        </is>
      </c>
      <c r="E39" s="6" t="inlineStr">
        <is>
          <t>Yes</t>
        </is>
      </c>
      <c r="F39" s="6" t="inlineStr">
        <is>
          <t>Missing/invalid check</t>
        </is>
      </c>
    </row>
    <row r="40">
      <c r="A40" s="6" t="inlineStr">
        <is>
          <t>tblMarketMaster</t>
        </is>
      </c>
      <c r="B40" s="30" t="inlineStr">
        <is>
          <t>Conflict Details</t>
        </is>
      </c>
      <c r="C40" s="6" t="inlineStr">
        <is>
          <t>Text</t>
        </is>
      </c>
      <c r="D40" s="6" t="inlineStr">
        <is>
          <t>No</t>
        </is>
      </c>
      <c r="E40" s="6" t="inlineStr">
        <is>
          <t>Yes</t>
        </is>
      </c>
      <c r="F40" s="6" t="inlineStr">
        <is>
          <t>Overlapping records</t>
        </is>
      </c>
    </row>
    <row r="41">
      <c r="A41" s="6" t="inlineStr">
        <is>
          <t>tblMarketMaster</t>
        </is>
      </c>
      <c r="B41" s="30" t="inlineStr">
        <is>
          <t>Overlap Count</t>
        </is>
      </c>
      <c r="C41" s="6" t="inlineStr">
        <is>
          <t>Number</t>
        </is>
      </c>
      <c r="D41" s="6" t="inlineStr">
        <is>
          <t>No</t>
        </is>
      </c>
      <c r="E41" s="6" t="inlineStr">
        <is>
          <t>Yes</t>
        </is>
      </c>
      <c r="F41" s="6" t="inlineStr">
        <is>
          <t>Conflicts</t>
        </is>
      </c>
    </row>
    <row r="42">
      <c r="A42" s="6" t="inlineStr">
        <is>
          <t>tblMarketMaster</t>
        </is>
      </c>
      <c r="B42" s="30" t="inlineStr">
        <is>
          <t>Test Record</t>
        </is>
      </c>
      <c r="C42" s="6" t="inlineStr">
        <is>
          <t>Yes/No</t>
        </is>
      </c>
      <c r="D42" s="6" t="inlineStr">
        <is>
          <t>Yes</t>
        </is>
      </c>
      <c r="E42" s="6" t="inlineStr">
        <is>
          <t>No</t>
        </is>
      </c>
      <c r="F42" s="6" t="inlineStr">
        <is>
          <t>Test isolation</t>
        </is>
      </c>
    </row>
    <row r="43">
      <c r="A43" s="6" t="inlineStr">
        <is>
          <t>tblProductSetup</t>
        </is>
      </c>
      <c r="B43" s="30" t="inlineStr">
        <is>
          <t>Variation ID</t>
        </is>
      </c>
      <c r="C43" s="6" t="inlineStr">
        <is>
          <t>Text</t>
        </is>
      </c>
      <c r="D43" s="6" t="inlineStr">
        <is>
          <t>Yes</t>
        </is>
      </c>
      <c r="E43" s="6" t="inlineStr">
        <is>
          <t>No</t>
        </is>
      </c>
      <c r="F43" s="6" t="inlineStr">
        <is>
          <t>Square variation ID</t>
        </is>
      </c>
    </row>
    <row r="44">
      <c r="A44" s="6" t="inlineStr">
        <is>
          <t>tblProductSetup</t>
        </is>
      </c>
      <c r="B44" s="30" t="inlineStr">
        <is>
          <t>Shelf Stable</t>
        </is>
      </c>
      <c r="C44" s="6" t="inlineStr">
        <is>
          <t>Yes/No</t>
        </is>
      </c>
      <c r="D44" s="6" t="inlineStr">
        <is>
          <t>Yes</t>
        </is>
      </c>
      <c r="E44" s="6" t="inlineStr">
        <is>
          <t>No</t>
        </is>
      </c>
      <c r="F44" s="6" t="inlineStr">
        <is>
          <t>Product attribute</t>
        </is>
      </c>
    </row>
    <row r="45">
      <c r="A45" s="6" t="inlineStr">
        <is>
          <t>tblProductSetup</t>
        </is>
      </c>
      <c r="B45" s="30" t="inlineStr">
        <is>
          <t>Spoils If Unsold</t>
        </is>
      </c>
      <c r="C45" s="6" t="inlineStr">
        <is>
          <t>Yes/No</t>
        </is>
      </c>
      <c r="D45" s="6" t="inlineStr">
        <is>
          <t>Yes</t>
        </is>
      </c>
      <c r="E45" s="6" t="inlineStr">
        <is>
          <t>No</t>
        </is>
      </c>
      <c r="F45" s="6" t="inlineStr">
        <is>
          <t>Default Yes</t>
        </is>
      </c>
    </row>
    <row r="46">
      <c r="A46" s="6" t="inlineStr">
        <is>
          <t>tblProductSetup</t>
        </is>
      </c>
      <c r="B46" s="30" t="inlineStr">
        <is>
          <t>Product Group</t>
        </is>
      </c>
      <c r="C46" s="6" t="inlineStr">
        <is>
          <t>Text</t>
        </is>
      </c>
      <c r="D46" s="6" t="inlineStr">
        <is>
          <t>Yes</t>
        </is>
      </c>
      <c r="E46" s="6" t="inlineStr">
        <is>
          <t>No</t>
        </is>
      </c>
      <c r="F46" s="6" t="inlineStr">
        <is>
          <t>Category</t>
        </is>
      </c>
    </row>
    <row r="47">
      <c r="A47" s="6" t="inlineStr">
        <is>
          <t>tblProductSetup</t>
        </is>
      </c>
      <c r="B47" s="30" t="inlineStr">
        <is>
          <t>Product Active</t>
        </is>
      </c>
      <c r="C47" s="6" t="inlineStr">
        <is>
          <t>Yes/No</t>
        </is>
      </c>
      <c r="D47" s="6" t="inlineStr">
        <is>
          <t>Yes</t>
        </is>
      </c>
      <c r="E47" s="6" t="inlineStr">
        <is>
          <t>No</t>
        </is>
      </c>
      <c r="F47" s="6" t="inlineStr">
        <is>
          <t>Business active flag</t>
        </is>
      </c>
    </row>
    <row r="48">
      <c r="A48" s="6" t="inlineStr">
        <is>
          <t>tblProductSetup</t>
        </is>
      </c>
      <c r="B48" s="30" t="inlineStr">
        <is>
          <t>Notes</t>
        </is>
      </c>
      <c r="C48" s="6" t="inlineStr">
        <is>
          <t>Text</t>
        </is>
      </c>
      <c r="D48" s="6" t="inlineStr">
        <is>
          <t>No</t>
        </is>
      </c>
      <c r="E48" s="6" t="inlineStr">
        <is>
          <t>No</t>
        </is>
      </c>
      <c r="F48" s="6" t="inlineStr">
        <is>
          <t>Optional</t>
        </is>
      </c>
    </row>
    <row r="49">
      <c r="A49" s="6" t="inlineStr">
        <is>
          <t>tblProductSetup</t>
        </is>
      </c>
      <c r="B49" s="30" t="inlineStr">
        <is>
          <t>Test Record</t>
        </is>
      </c>
      <c r="C49" s="6" t="inlineStr">
        <is>
          <t>Yes/No</t>
        </is>
      </c>
      <c r="D49" s="6" t="inlineStr">
        <is>
          <t>Yes</t>
        </is>
      </c>
      <c r="E49" s="6" t="inlineStr">
        <is>
          <t>No</t>
        </is>
      </c>
      <c r="F49" s="6" t="inlineStr">
        <is>
          <t>Test isolation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36" customWidth="1" style="7" min="1" max="1"/>
    <col width="20" customWidth="1" style="7" min="2" max="2"/>
  </cols>
  <sheetData>
    <row r="1" ht="24" customHeight="1" s="7">
      <c r="A1" s="1" t="inlineStr">
        <is>
          <t>SETTINGS</t>
        </is>
      </c>
    </row>
    <row r="3">
      <c r="A3" s="11" t="inlineStr">
        <is>
          <t>Setting</t>
        </is>
      </c>
      <c r="B3" s="11" t="inlineStr">
        <is>
          <t>Value</t>
        </is>
      </c>
    </row>
    <row r="4">
      <c r="A4" s="6" t="inlineStr">
        <is>
          <t>Mileage Rate</t>
        </is>
      </c>
      <c r="B4" s="6" t="n">
        <v>0.67</v>
      </c>
    </row>
    <row r="5">
      <c r="A5" s="6" t="inlineStr">
        <is>
          <t>Market Ranking Minimum Visits</t>
        </is>
      </c>
      <c r="B5" s="6" t="n">
        <v>5</v>
      </c>
    </row>
    <row r="6">
      <c r="A6" s="6" t="inlineStr">
        <is>
          <t>Week Starts On</t>
        </is>
      </c>
      <c r="B6" s="6" t="inlineStr">
        <is>
          <t>Monday</t>
        </is>
      </c>
    </row>
    <row r="7">
      <c r="A7" s="6" t="inlineStr">
        <is>
          <t>Testing Mode</t>
        </is>
      </c>
      <c r="B7" s="6" t="inlineStr">
        <is>
          <t>No</t>
        </is>
      </c>
    </row>
    <row r="8">
      <c r="A8" s="6" t="inlineStr">
        <is>
          <t>Weekly Profit Goal</t>
        </is>
      </c>
      <c r="B8" s="6" t="n">
        <v>300</v>
      </c>
    </row>
    <row r="9">
      <c r="A9" s="6" t="inlineStr">
        <is>
          <t>Safety Stock %</t>
        </is>
      </c>
      <c r="B9" s="6" t="n">
        <v>0.2</v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A5A5A5"/>
    <outlinePr summaryBelow="1" summaryRight="1"/>
    <pageSetUpPr/>
  </sheetPr>
  <dimension ref="A1:L5"/>
  <sheetViews>
    <sheetView showGridLines="0" workbookViewId="0">
      <selection activeCell="A1" sqref="A1"/>
    </sheetView>
  </sheetViews>
  <sheetFormatPr baseColWidth="8" defaultRowHeight="15"/>
  <cols>
    <col width="22" customWidth="1" style="7" min="1" max="1"/>
    <col width="13" customWidth="1" style="7" min="2" max="2"/>
    <col width="13" customWidth="1" style="7" min="3" max="3"/>
    <col width="13" customWidth="1" style="7" min="4" max="4"/>
    <col width="23" customWidth="1" style="7" min="5" max="5"/>
    <col width="22" customWidth="1" style="7" min="6" max="6"/>
    <col width="12" customWidth="1" style="7" min="7" max="7"/>
    <col width="18" customWidth="1" style="7" min="8" max="8"/>
    <col width="18" customWidth="1" style="7" min="9" max="9"/>
    <col width="55" customWidth="1" style="7" min="10" max="10"/>
    <col width="14" customWidth="1" style="7" min="11" max="11"/>
    <col width="12" customWidth="1" style="7" min="12" max="12"/>
  </cols>
  <sheetData>
    <row r="1" ht="24" customHeight="1" s="7">
      <c r="A1" s="1" t="inlineStr">
        <is>
          <t>MARKET MASTER</t>
        </is>
      </c>
    </row>
    <row r="2">
      <c r="B2" s="19" t="n"/>
      <c r="C2" s="19" t="n"/>
      <c r="H2" s="19" t="n"/>
    </row>
    <row r="3">
      <c r="A3" s="11" t="inlineStr">
        <is>
          <t>Market</t>
        </is>
      </c>
      <c r="B3" s="17" t="inlineStr">
        <is>
          <t>Start Date</t>
        </is>
      </c>
      <c r="C3" s="17" t="inlineStr">
        <is>
          <t>End Date</t>
        </is>
      </c>
      <c r="D3" s="11" t="inlineStr">
        <is>
          <t>Market Fee</t>
        </is>
      </c>
      <c r="E3" s="11" t="inlineStr">
        <is>
          <t>Default Round Trip Miles</t>
        </is>
      </c>
      <c r="F3" s="11" t="inlineStr">
        <is>
          <t>Default Travel Minutes</t>
        </is>
      </c>
      <c r="G3" s="11" t="inlineStr">
        <is>
          <t>Active</t>
        </is>
      </c>
      <c r="H3" s="17" t="inlineStr">
        <is>
          <t>Invalid Date Range</t>
        </is>
      </c>
      <c r="I3" s="11" t="inlineStr">
        <is>
          <t>Fee Validation</t>
        </is>
      </c>
      <c r="J3" s="11" t="inlineStr">
        <is>
          <t>Conflict Details</t>
        </is>
      </c>
      <c r="K3" s="11" t="inlineStr">
        <is>
          <t>Overlap Count</t>
        </is>
      </c>
      <c r="L3" s="11" t="inlineStr">
        <is>
          <t>Test Record</t>
        </is>
      </c>
    </row>
    <row r="4">
      <c r="A4" s="6" t="inlineStr">
        <is>
          <t>TEST-ORLANDO</t>
        </is>
      </c>
      <c r="B4" s="23" t="n">
        <v>46023</v>
      </c>
      <c r="C4" s="19" t="n"/>
      <c r="D4" s="30" t="n">
        <v>40</v>
      </c>
      <c r="E4" s="6" t="n">
        <v>84</v>
      </c>
      <c r="F4" s="6" t="n">
        <v>90</v>
      </c>
      <c r="G4" s="20">
        <f>IF(OR(tblMarketMaster[[#This Row],[End Date]]="",tblMarketMaster[[#This Row],[End Date]]&gt;=TODAY()),"Active","Expired")</f>
        <v/>
      </c>
      <c r="H4" s="21">
        <f>IF(OR(tblMarketMaster[[#This Row],[Start Date]]="",tblMarketMaster[[#This Row],[End Date]]=""),"",IF(tblMarketMaster[[#This Row],[End Date]]&lt;tblMarketMaster[[#This Row],[Start Date]],"INVALID","OK"))</f>
        <v/>
      </c>
      <c r="I4" s="20">
        <f>IF(tblMarketMaster[[#This Row],[Market Fee]]="","MISSING FEE",IF(NOT(ISNUMBER(tblMarketMaster[[#This Row],[Market Fee]])),"INVALID FEE",IF(tblMarketMaster[[#This Row],[Market Fee]]&lt;0,"INVALID FEE","OK")))</f>
        <v/>
      </c>
      <c r="J4" s="20">
        <f>_xlfn.LET(M,tblMarketMaster[[#This Row],[Market]],S,tblMarketMaster[[#This Row],[Start Date]],E,IF(tblMarketMaster[[#This Row],[End Date]]="",DATE(9999,12,31),tblMarketMaster[[#This Row],[End Date]]),OM,tblMarketMaster[Market],OS,tblMarketMaster[Start Date],OE,IF(tblMarketMaster[End Date]="",DATE(9999,12,31),tblMarketMaster[End Date]),OF,tblMarketMaster[Market Fee],Matches,(OM=M)*(OS&lt;=E)*(OE&gt;=S)*(ROW(OM)&lt;&gt;ROW()),IFERROR(_xlfn.TEXTJOIN(CHAR(10),TRUE,_xlfn._xlws.FILTER(OM&amp;" | $"&amp;TEXT(OF,"0.00")&amp;" | "&amp;TEXT(OS,"m/d/yyyy")&amp;" to "&amp;IF(OE=DATE(9999,12,31),"Current",TEXT(OE,"m/d/yyyy")),Matches)),""))</f>
        <v/>
      </c>
      <c r="K4" s="20">
        <f>IF(tblMarketMaster[[#This Row],[Conflict Details]]="",0,LEN(tblMarketMaster[[#This Row],[Conflict Details]])-LEN(SUBSTITUTE(tblMarketMaster[[#This Row],[Conflict Details]],CHAR(10),""))+1)</f>
        <v/>
      </c>
      <c r="L4" s="6" t="inlineStr">
        <is>
          <t>Yes</t>
        </is>
      </c>
    </row>
    <row r="5">
      <c r="A5" s="6" t="inlineStr">
        <is>
          <t>TEST-HAINES</t>
        </is>
      </c>
      <c r="B5" s="23" t="n">
        <v>46023</v>
      </c>
      <c r="C5" s="19" t="n"/>
      <c r="D5" s="30" t="n">
        <v>25</v>
      </c>
      <c r="E5" s="6" t="n">
        <v>18</v>
      </c>
      <c r="F5" s="6" t="n">
        <v>25</v>
      </c>
      <c r="G5" s="20">
        <f>IF(OR(tblMarketMaster[[#This Row],[End Date]]="",tblMarketMaster[[#This Row],[End Date]]&gt;=TODAY()),"Active","Expired")</f>
        <v/>
      </c>
      <c r="H5" s="21">
        <f>IF(OR(tblMarketMaster[[#This Row],[Start Date]]="",tblMarketMaster[[#This Row],[End Date]]=""),"",IF(tblMarketMaster[[#This Row],[End Date]]&lt;tblMarketMaster[[#This Row],[Start Date]],"INVALID","OK"))</f>
        <v/>
      </c>
      <c r="I5" s="20">
        <f>IF(tblMarketMaster[[#This Row],[Market Fee]]="","MISSING FEE",IF(NOT(ISNUMBER(tblMarketMaster[[#This Row],[Market Fee]])),"INVALID FEE",IF(tblMarketMaster[[#This Row],[Market Fee]]&lt;0,"INVALID FEE","OK")))</f>
        <v/>
      </c>
      <c r="J5" s="20">
        <f>_xlfn.LET(M,tblMarketMaster[[#This Row],[Market]],S,tblMarketMaster[[#This Row],[Start Date]],E,IF(tblMarketMaster[[#This Row],[End Date]]="",DATE(9999,12,31),tblMarketMaster[[#This Row],[End Date]]),OM,tblMarketMaster[Market],OS,tblMarketMaster[Start Date],OE,IF(tblMarketMaster[End Date]="",DATE(9999,12,31),tblMarketMaster[End Date]),OF,tblMarketMaster[Market Fee],Matches,(OM=M)*(OS&lt;=E)*(OE&gt;=S)*(ROW(OM)&lt;&gt;ROW()),IFERROR(_xlfn.TEXTJOIN(CHAR(10),TRUE,_xlfn._xlws.FILTER(OM&amp;" | $"&amp;TEXT(OF,"0.00")&amp;" | "&amp;TEXT(OS,"m/d/yyyy")&amp;" to "&amp;IF(OE=DATE(9999,12,31),"Current",TEXT(OE,"m/d/yyyy")),Matches)),""))</f>
        <v/>
      </c>
      <c r="K5" s="20">
        <f>IF(tblMarketMaster[[#This Row],[Conflict Details]]="",0,LEN(tblMarketMaster[[#This Row],[Conflict Details]])-LEN(SUBSTITUTE(tblMarketMaster[[#This Row],[Conflict Details]],CHAR(10),""))+1)</f>
        <v/>
      </c>
      <c r="L5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A5A5A5"/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15" customWidth="1" style="7" min="2" max="2"/>
    <col width="18" customWidth="1" style="7" min="3" max="3"/>
    <col width="18" customWidth="1" style="7" min="4" max="4"/>
    <col width="16" customWidth="1" style="7" min="5" max="5"/>
    <col width="28" customWidth="1" style="7" min="6" max="6"/>
    <col width="12" customWidth="1" style="7" min="7" max="7"/>
  </cols>
  <sheetData>
    <row r="1" ht="24" customHeight="1" s="7">
      <c r="A1" s="1" t="inlineStr">
        <is>
          <t>PRODUCT SETUP DATA</t>
        </is>
      </c>
    </row>
    <row r="3">
      <c r="A3" s="11" t="inlineStr">
        <is>
          <t>Variation ID</t>
        </is>
      </c>
      <c r="B3" s="11" t="inlineStr">
        <is>
          <t>Shelf Stable</t>
        </is>
      </c>
      <c r="C3" s="11" t="inlineStr">
        <is>
          <t>Spoils If Unsold</t>
        </is>
      </c>
      <c r="D3" s="11" t="inlineStr">
        <is>
          <t>Product Group</t>
        </is>
      </c>
      <c r="E3" s="11" t="inlineStr">
        <is>
          <t>Product Active</t>
        </is>
      </c>
      <c r="F3" s="11" t="inlineStr">
        <is>
          <t>Notes</t>
        </is>
      </c>
      <c r="G3" s="11" t="inlineStr">
        <is>
          <t>Test Record</t>
        </is>
      </c>
    </row>
    <row r="4">
      <c r="A4" s="6" t="inlineStr">
        <is>
          <t>TEST-VAR001</t>
        </is>
      </c>
      <c r="B4" s="6" t="inlineStr">
        <is>
          <t>Yes</t>
        </is>
      </c>
      <c r="C4" s="6" t="inlineStr">
        <is>
          <t>Yes</t>
        </is>
      </c>
      <c r="D4" s="6" t="inlineStr">
        <is>
          <t>Jam</t>
        </is>
      </c>
      <c r="E4" s="6" t="inlineStr">
        <is>
          <t>Yes</t>
        </is>
      </c>
      <c r="F4" s="6" t="inlineStr">
        <is>
          <t>Fixture</t>
        </is>
      </c>
      <c r="G4" s="6" t="inlineStr">
        <is>
          <t>Yes</t>
        </is>
      </c>
    </row>
    <row r="5">
      <c r="A5" s="6" t="inlineStr">
        <is>
          <t>TEST-VAR002</t>
        </is>
      </c>
      <c r="B5" s="6" t="inlineStr">
        <is>
          <t>Yes</t>
        </is>
      </c>
      <c r="C5" s="6" t="inlineStr">
        <is>
          <t>No</t>
        </is>
      </c>
      <c r="D5" s="6" t="inlineStr">
        <is>
          <t>Jam</t>
        </is>
      </c>
      <c r="E5" s="6" t="inlineStr">
        <is>
          <t>Yes</t>
        </is>
      </c>
      <c r="F5" s="6" t="inlineStr">
        <is>
          <t>Fixture</t>
        </is>
      </c>
      <c r="G5" s="6" t="inlineStr">
        <is>
          <t>Yes</t>
        </is>
      </c>
    </row>
    <row r="6">
      <c r="A6" s="6" t="inlineStr">
        <is>
          <t>TEST-VAR003</t>
        </is>
      </c>
      <c r="B6" s="6" t="inlineStr">
        <is>
          <t>No</t>
        </is>
      </c>
      <c r="C6" s="6" t="inlineStr">
        <is>
          <t>Yes</t>
        </is>
      </c>
      <c r="D6" s="6" t="inlineStr">
        <is>
          <t>Fresh</t>
        </is>
      </c>
      <c r="E6" s="6" t="inlineStr">
        <is>
          <t>Yes</t>
        </is>
      </c>
      <c r="F6" s="6" t="inlineStr">
        <is>
          <t>Fixture</t>
        </is>
      </c>
      <c r="G6" s="6" t="inlineStr">
        <is>
          <t>Yes</t>
        </is>
      </c>
    </row>
    <row r="7">
      <c r="A7" s="6" t="inlineStr">
        <is>
          <t>TEST-VAR004</t>
        </is>
      </c>
      <c r="B7" s="6" t="inlineStr">
        <is>
          <t>Yes</t>
        </is>
      </c>
      <c r="C7" s="6" t="inlineStr">
        <is>
          <t>Yes</t>
        </is>
      </c>
      <c r="D7" s="6" t="inlineStr">
        <is>
          <t>Honey</t>
        </is>
      </c>
      <c r="E7" s="6" t="inlineStr">
        <is>
          <t>Yes</t>
        </is>
      </c>
      <c r="F7" s="6" t="inlineStr">
        <is>
          <t>Fixture</t>
        </is>
      </c>
      <c r="G7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A5A5A5"/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18" customWidth="1" style="7" min="1" max="1"/>
    <col width="32" customWidth="1" style="7" min="2" max="2"/>
    <col width="16" customWidth="1" style="7" min="3" max="3"/>
    <col width="28" customWidth="1" style="7" min="4" max="4"/>
    <col width="12" customWidth="1" style="7" min="5" max="5"/>
  </cols>
  <sheetData>
    <row r="1" ht="24" customHeight="1" s="7">
      <c r="A1" s="1" t="inlineStr">
        <is>
          <t>RECIPE MASTER</t>
        </is>
      </c>
    </row>
    <row r="3">
      <c r="A3" s="11" t="inlineStr">
        <is>
          <t>Recipe ID</t>
        </is>
      </c>
      <c r="B3" s="11" t="inlineStr">
        <is>
          <t>Recipe Name</t>
        </is>
      </c>
      <c r="C3" s="11" t="inlineStr">
        <is>
          <t>Recipe Active</t>
        </is>
      </c>
      <c r="D3" s="11" t="inlineStr">
        <is>
          <t>Notes</t>
        </is>
      </c>
      <c r="E3" s="11" t="inlineStr">
        <is>
          <t>Test Record</t>
        </is>
      </c>
    </row>
    <row r="4">
      <c r="A4" s="6" t="inlineStr">
        <is>
          <t>TEST-R001</t>
        </is>
      </c>
      <c r="B4" s="6" t="inlineStr">
        <is>
          <t>Test Strawberry Jam Base</t>
        </is>
      </c>
      <c r="C4" s="6" t="inlineStr">
        <is>
          <t>Yes</t>
        </is>
      </c>
      <c r="D4" s="6" t="inlineStr">
        <is>
          <t>Fixture</t>
        </is>
      </c>
      <c r="E4" s="6" t="inlineStr">
        <is>
          <t>Yes</t>
        </is>
      </c>
    </row>
    <row r="5">
      <c r="A5" s="6" t="inlineStr">
        <is>
          <t>TEST-R002</t>
        </is>
      </c>
      <c r="B5" s="6" t="inlineStr">
        <is>
          <t>Test Bread Base</t>
        </is>
      </c>
      <c r="C5" s="6" t="inlineStr">
        <is>
          <t>Yes</t>
        </is>
      </c>
      <c r="D5" s="6" t="inlineStr">
        <is>
          <t>Fixture</t>
        </is>
      </c>
      <c r="E5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A5A5A5"/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18" customWidth="1" style="7" min="2" max="2"/>
    <col width="12" customWidth="1" style="7" min="3" max="3"/>
  </cols>
  <sheetData>
    <row r="1" ht="24" customHeight="1" s="7">
      <c r="A1" s="1" t="inlineStr">
        <is>
          <t>PRODUCT RECIPE MAPPING</t>
        </is>
      </c>
    </row>
    <row r="3">
      <c r="A3" s="11" t="inlineStr">
        <is>
          <t>Variation ID</t>
        </is>
      </c>
      <c r="B3" s="11" t="inlineStr">
        <is>
          <t>Recipe ID</t>
        </is>
      </c>
      <c r="C3" s="11" t="inlineStr">
        <is>
          <t>Test Record</t>
        </is>
      </c>
    </row>
    <row r="4">
      <c r="A4" s="6" t="inlineStr">
        <is>
          <t>TEST-VAR001</t>
        </is>
      </c>
      <c r="B4" s="6" t="inlineStr">
        <is>
          <t>TEST-R001</t>
        </is>
      </c>
      <c r="C4" s="6" t="inlineStr">
        <is>
          <t>Yes</t>
        </is>
      </c>
    </row>
    <row r="5">
      <c r="A5" s="6" t="inlineStr">
        <is>
          <t>TEST-VAR002</t>
        </is>
      </c>
      <c r="B5" s="6" t="inlineStr">
        <is>
          <t>TEST-R001</t>
        </is>
      </c>
      <c r="C5" s="6" t="inlineStr">
        <is>
          <t>Yes</t>
        </is>
      </c>
    </row>
    <row r="6">
      <c r="A6" s="6" t="inlineStr">
        <is>
          <t>TEST-VAR003</t>
        </is>
      </c>
      <c r="B6" s="6" t="inlineStr">
        <is>
          <t>TEST-R002</t>
        </is>
      </c>
      <c r="C6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A5A5A5"/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8" customWidth="1" style="7" min="1" max="1"/>
    <col width="22" customWidth="1" style="7" min="2" max="2"/>
    <col width="18" customWidth="1" style="7" min="3" max="3"/>
    <col width="12" customWidth="1" style="7" min="4" max="4"/>
    <col width="12" customWidth="1" style="7" min="5" max="5"/>
  </cols>
  <sheetData>
    <row r="1" ht="24" customHeight="1" s="7">
      <c r="A1" s="1" t="inlineStr">
        <is>
          <t>RECIPE INGREDIENTS</t>
        </is>
      </c>
    </row>
    <row r="3">
      <c r="A3" s="11" t="inlineStr">
        <is>
          <t>Recipe ID</t>
        </is>
      </c>
      <c r="B3" s="11" t="inlineStr">
        <is>
          <t>Ingredient</t>
        </is>
      </c>
      <c r="C3" s="11" t="inlineStr">
        <is>
          <t>Quantity Per Item</t>
        </is>
      </c>
      <c r="D3" s="11" t="inlineStr">
        <is>
          <t>Unit</t>
        </is>
      </c>
      <c r="E3" s="11" t="inlineStr">
        <is>
          <t>Test Record</t>
        </is>
      </c>
    </row>
    <row r="4">
      <c r="A4" s="6" t="inlineStr">
        <is>
          <t>TEST-R001</t>
        </is>
      </c>
      <c r="B4" s="6" t="inlineStr">
        <is>
          <t>Strawberries</t>
        </is>
      </c>
      <c r="C4" s="6" t="n">
        <v>0.4</v>
      </c>
      <c r="D4" s="6" t="inlineStr">
        <is>
          <t>lb</t>
        </is>
      </c>
      <c r="E4" s="6" t="inlineStr">
        <is>
          <t>Yes</t>
        </is>
      </c>
    </row>
    <row r="5">
      <c r="A5" s="6" t="inlineStr">
        <is>
          <t>TEST-R001</t>
        </is>
      </c>
      <c r="B5" s="6" t="inlineStr">
        <is>
          <t>Sugar</t>
        </is>
      </c>
      <c r="C5" s="6" t="n">
        <v>0.2</v>
      </c>
      <c r="D5" s="6" t="inlineStr">
        <is>
          <t>lb</t>
        </is>
      </c>
      <c r="E5" s="6" t="inlineStr">
        <is>
          <t>Yes</t>
        </is>
      </c>
    </row>
    <row r="6">
      <c r="A6" s="6" t="inlineStr">
        <is>
          <t>TEST-R001</t>
        </is>
      </c>
      <c r="B6" s="6" t="inlineStr">
        <is>
          <t>Jar</t>
        </is>
      </c>
      <c r="C6" s="6" t="n">
        <v>1</v>
      </c>
      <c r="D6" s="6" t="inlineStr">
        <is>
          <t>each</t>
        </is>
      </c>
      <c r="E6" s="6" t="inlineStr">
        <is>
          <t>Yes</t>
        </is>
      </c>
    </row>
    <row r="7">
      <c r="A7" s="6" t="inlineStr">
        <is>
          <t>TEST-R002</t>
        </is>
      </c>
      <c r="B7" s="6" t="inlineStr">
        <is>
          <t>Flour</t>
        </is>
      </c>
      <c r="C7" s="6" t="n">
        <v>0.5</v>
      </c>
      <c r="D7" s="6" t="inlineStr">
        <is>
          <t>lb</t>
        </is>
      </c>
      <c r="E7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16" customWidth="1" style="7" min="2" max="2"/>
    <col width="15" customWidth="1" style="7" min="3" max="3"/>
    <col width="20" customWidth="1" style="7" min="4" max="4"/>
    <col width="12" customWidth="1" style="7" min="5" max="5"/>
  </cols>
  <sheetData>
    <row r="1" ht="24" customHeight="1" s="7">
      <c r="A1" s="1" t="inlineStr">
        <is>
          <t>PRODUCT COSTS</t>
        </is>
      </c>
    </row>
    <row r="2">
      <c r="B2" s="19" t="n"/>
    </row>
    <row r="3">
      <c r="A3" s="11" t="inlineStr">
        <is>
          <t>Variation ID</t>
        </is>
      </c>
      <c r="B3" s="17" t="inlineStr">
        <is>
          <t>Effective Date</t>
        </is>
      </c>
      <c r="C3" s="11" t="inlineStr">
        <is>
          <t>Manual Cost</t>
        </is>
      </c>
      <c r="D3" s="11" t="inlineStr">
        <is>
          <t>Cost Review Status</t>
        </is>
      </c>
      <c r="E3" s="11" t="inlineStr">
        <is>
          <t>Test Record</t>
        </is>
      </c>
    </row>
    <row r="4">
      <c r="A4" s="6" t="inlineStr">
        <is>
          <t>TEST-VAR001</t>
        </is>
      </c>
      <c r="B4" s="23" t="n">
        <v>46023</v>
      </c>
      <c r="C4" s="30" t="n">
        <v>2.15</v>
      </c>
      <c r="D4" s="6" t="inlineStr">
        <is>
          <t>OK</t>
        </is>
      </c>
      <c r="E4" s="6" t="inlineStr">
        <is>
          <t>Yes</t>
        </is>
      </c>
    </row>
    <row r="5">
      <c r="A5" s="6" t="inlineStr">
        <is>
          <t>TEST-VAR003</t>
        </is>
      </c>
      <c r="B5" s="23" t="n">
        <v>45658</v>
      </c>
      <c r="C5" s="30" t="n">
        <v>1.5</v>
      </c>
      <c r="D5" s="6" t="inlineStr">
        <is>
          <t>REVIEW COST</t>
        </is>
      </c>
      <c r="E5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A5A5A5"/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22" customWidth="1" style="7" min="1" max="1"/>
    <col width="16" customWidth="1" style="7" min="2" max="2"/>
    <col width="16" customWidth="1" style="7" min="3" max="3"/>
    <col width="12" customWidth="1" style="7" min="4" max="4"/>
    <col width="12" customWidth="1" style="7" min="5" max="5"/>
  </cols>
  <sheetData>
    <row r="1" ht="24" customHeight="1" s="7">
      <c r="A1" s="1" t="inlineStr">
        <is>
          <t>INGREDIENT COST HISTORY</t>
        </is>
      </c>
    </row>
    <row r="2">
      <c r="B2" s="19" t="n"/>
    </row>
    <row r="3">
      <c r="A3" s="11" t="inlineStr">
        <is>
          <t>Ingredient</t>
        </is>
      </c>
      <c r="B3" s="17" t="inlineStr">
        <is>
          <t>Effective Date</t>
        </is>
      </c>
      <c r="C3" s="11" t="inlineStr">
        <is>
          <t>Cost Per Unit</t>
        </is>
      </c>
      <c r="D3" s="11" t="inlineStr">
        <is>
          <t>Unit</t>
        </is>
      </c>
      <c r="E3" s="11" t="inlineStr">
        <is>
          <t>Test Record</t>
        </is>
      </c>
    </row>
    <row r="4">
      <c r="A4" s="6" t="inlineStr">
        <is>
          <t>Sugar</t>
        </is>
      </c>
      <c r="B4" s="23" t="n">
        <v>45658</v>
      </c>
      <c r="C4" s="30" t="n">
        <v>0.75</v>
      </c>
      <c r="D4" s="6" t="inlineStr">
        <is>
          <t>lb</t>
        </is>
      </c>
      <c r="E4" s="6" t="inlineStr">
        <is>
          <t>Yes</t>
        </is>
      </c>
    </row>
    <row r="5">
      <c r="A5" s="6" t="inlineStr">
        <is>
          <t>Sugar</t>
        </is>
      </c>
      <c r="B5" s="23" t="n">
        <v>46023</v>
      </c>
      <c r="C5" s="30" t="n">
        <v>0.82</v>
      </c>
      <c r="D5" s="6" t="inlineStr">
        <is>
          <t>lb</t>
        </is>
      </c>
      <c r="E5" s="6" t="inlineStr">
        <is>
          <t>Yes</t>
        </is>
      </c>
    </row>
    <row r="6">
      <c r="A6" s="6" t="inlineStr">
        <is>
          <t>Strawberries</t>
        </is>
      </c>
      <c r="B6" s="23" t="n">
        <v>46023</v>
      </c>
      <c r="C6" s="30" t="n">
        <v>2</v>
      </c>
      <c r="D6" s="6" t="inlineStr">
        <is>
          <t>lb</t>
        </is>
      </c>
      <c r="E6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A5A5A5"/>
    <outlinePr summaryBelow="1" summaryRight="1"/>
    <pageSetUpPr/>
  </sheetPr>
  <dimension ref="A1:I4"/>
  <sheetViews>
    <sheetView showGridLines="0" workbookViewId="0">
      <selection activeCell="A1" sqref="A1"/>
    </sheetView>
  </sheetViews>
  <sheetFormatPr baseColWidth="8" defaultRowHeight="15"/>
  <cols>
    <col width="15" customWidth="1" style="7" min="1" max="1"/>
    <col width="15" customWidth="1" style="7" min="2" max="2"/>
    <col width="20" customWidth="1" style="7" min="3" max="3"/>
    <col width="20" customWidth="1" style="7" min="4" max="4"/>
    <col width="20" customWidth="1" style="7" min="5" max="5"/>
    <col width="28" customWidth="1" style="7" min="6" max="6"/>
    <col width="22" customWidth="1" style="7" min="7" max="7"/>
    <col width="18" customWidth="1" style="7" min="8" max="8"/>
    <col width="12" customWidth="1" style="7" min="9" max="9"/>
  </cols>
  <sheetData>
    <row r="1" ht="24" customHeight="1" s="7">
      <c r="A1" s="22" t="inlineStr">
        <is>
          <t>BUSINESS EXCEPTIONS</t>
        </is>
      </c>
    </row>
    <row r="2">
      <c r="A2" s="19" t="n"/>
      <c r="B2" s="19" t="n"/>
      <c r="H2" s="19" t="n"/>
    </row>
    <row r="3">
      <c r="A3" s="17" t="inlineStr">
        <is>
          <t>Start Date</t>
        </is>
      </c>
      <c r="B3" s="17" t="inlineStr">
        <is>
          <t>End Date</t>
        </is>
      </c>
      <c r="C3" s="11" t="inlineStr">
        <is>
          <t>Exception Type</t>
        </is>
      </c>
      <c r="D3" s="11" t="inlineStr">
        <is>
          <t>Applies To</t>
        </is>
      </c>
      <c r="E3" s="11" t="inlineStr">
        <is>
          <t>Market</t>
        </is>
      </c>
      <c r="F3" s="11" t="inlineStr">
        <is>
          <t>Notes</t>
        </is>
      </c>
      <c r="G3" s="11" t="inlineStr">
        <is>
          <t>Business Impact</t>
        </is>
      </c>
      <c r="H3" s="17" t="inlineStr">
        <is>
          <t>Date Validation</t>
        </is>
      </c>
      <c r="I3" s="11" t="inlineStr">
        <is>
          <t>Test Record</t>
        </is>
      </c>
    </row>
    <row r="4">
      <c r="A4" s="23" t="n">
        <v>46034</v>
      </c>
      <c r="B4" s="23" t="n">
        <v>46040</v>
      </c>
      <c r="C4" s="6" t="inlineStr">
        <is>
          <t>Vacation</t>
        </is>
      </c>
      <c r="D4" s="6" t="inlineStr">
        <is>
          <t>Entire Business</t>
        </is>
      </c>
      <c r="E4" s="6" t="inlineStr"/>
      <c r="F4" s="6" t="inlineStr">
        <is>
          <t>Fixture</t>
        </is>
      </c>
      <c r="G4" s="6" t="inlineStr">
        <is>
          <t>No Sales Expected</t>
        </is>
      </c>
      <c r="H4" s="21">
        <f>IF(tblBusinessExceptions[[#This Row],[End Date]]&lt;tblBusinessExceptions[[#This Row],[Start Date]],"INVALID","OK")</f>
        <v/>
      </c>
      <c r="I4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tabColor rgb="00A5A5A5"/>
    <outlinePr summaryBelow="1" summaryRight="1"/>
    <pageSetUpPr/>
  </sheetPr>
  <dimension ref="A1:M5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20" customWidth="1" style="7" min="2" max="2"/>
    <col width="15" customWidth="1" style="7" min="3" max="3"/>
    <col width="19" customWidth="1" style="7" min="4" max="4"/>
    <col width="12" customWidth="1" style="7" min="5" max="5"/>
    <col width="12" customWidth="1" style="7" min="6" max="6"/>
    <col width="12" customWidth="1" style="7" min="7" max="7"/>
    <col width="14" customWidth="1" style="7" min="8" max="8"/>
    <col width="18" customWidth="1" style="7" min="9" max="9"/>
    <col width="14" customWidth="1" style="7" min="10" max="10"/>
    <col width="18" customWidth="1" style="7" min="11" max="11"/>
    <col width="34" customWidth="1" style="7" min="12" max="12"/>
    <col width="12" customWidth="1" style="7" min="13" max="13"/>
  </cols>
  <sheetData>
    <row r="1" ht="24" customHeight="1" s="7">
      <c r="A1" s="1" t="inlineStr">
        <is>
          <t>INVENTORY</t>
        </is>
      </c>
    </row>
    <row r="2">
      <c r="C2" s="19" t="n"/>
    </row>
    <row r="3">
      <c r="A3" s="11" t="inlineStr">
        <is>
          <t>Test Key</t>
        </is>
      </c>
      <c r="B3" s="11" t="inlineStr">
        <is>
          <t>Variation ID</t>
        </is>
      </c>
      <c r="C3" s="17" t="inlineStr">
        <is>
          <t>Inventory Date</t>
        </is>
      </c>
      <c r="D3" s="11" t="inlineStr">
        <is>
          <t>Beginning Inventory</t>
        </is>
      </c>
      <c r="E3" s="11" t="inlineStr">
        <is>
          <t>Produced</t>
        </is>
      </c>
      <c r="F3" s="11" t="inlineStr">
        <is>
          <t>Sold</t>
        </is>
      </c>
      <c r="G3" s="11" t="inlineStr">
        <is>
          <t>Samples</t>
        </is>
      </c>
      <c r="H3" s="11" t="inlineStr">
        <is>
          <t>Available</t>
        </is>
      </c>
      <c r="I3" s="11" t="inlineStr">
        <is>
          <t>Inventory Variance</t>
        </is>
      </c>
      <c r="J3" s="11" t="inlineStr">
        <is>
          <t>Spoilage</t>
        </is>
      </c>
      <c r="K3" s="11" t="inlineStr">
        <is>
          <t>Ending Inventory</t>
        </is>
      </c>
      <c r="L3" s="11" t="inlineStr">
        <is>
          <t>Validation</t>
        </is>
      </c>
      <c r="M3" s="11" t="inlineStr">
        <is>
          <t>Test Record</t>
        </is>
      </c>
    </row>
    <row r="4">
      <c r="A4" s="6" t="inlineStr">
        <is>
          <t>TEST-INV-SPOIL</t>
        </is>
      </c>
      <c r="B4" s="6" t="inlineStr">
        <is>
          <t>TEST-VAR001</t>
        </is>
      </c>
      <c r="C4" s="23" t="n">
        <v>46027</v>
      </c>
      <c r="D4" s="6" t="n">
        <v>0</v>
      </c>
      <c r="E4" s="6" t="n">
        <v>20</v>
      </c>
      <c r="F4" s="6" t="n">
        <v>15</v>
      </c>
      <c r="G4" s="6" t="n">
        <v>2</v>
      </c>
      <c r="H4" s="20">
        <f>tblInventory[[#This Row],[Beginning Inventory]]+tblInventory[[#This Row],[Produced]]</f>
        <v/>
      </c>
      <c r="I4" s="20">
        <f>tblInventory[[#This Row],[Available]]-tblInventory[[#This Row],[Sold]]-tblInventory[[#This Row],[Samples]]</f>
        <v/>
      </c>
      <c r="J4" s="20">
        <f>IF(_xlfn.XLOOKUP(tblInventory[[#This Row],[Variation ID]],tblProductSetup[Variation ID],tblProductSetup[Spoils If Unsold],"Yes")="Yes",MAX(0,tblInventory[[#This Row],[Inventory Variance]]),0)</f>
        <v/>
      </c>
      <c r="K4" s="20">
        <f>IF(_xlfn.XLOOKUP(tblInventory[[#This Row],[Variation ID]],tblProductSetup[Variation ID],tblProductSetup[Spoils If Unsold],"Yes")="Yes",0,MAX(0,tblInventory[[#This Row],[Inventory Variance]]-tblInventory[[#This Row],[Spoilage]]))</f>
        <v/>
      </c>
      <c r="L4" s="20">
        <f>IF(tblInventory[[#This Row],[Inventory Variance]]&lt;0,"ERROR: SOLD/SAMPLES EXCEED AVAILABLE","OK")</f>
        <v/>
      </c>
      <c r="M4" s="6" t="inlineStr">
        <is>
          <t>Yes</t>
        </is>
      </c>
    </row>
    <row r="5">
      <c r="A5" s="6" t="inlineStr">
        <is>
          <t>TEST-INV-CARRY</t>
        </is>
      </c>
      <c r="B5" s="6" t="inlineStr">
        <is>
          <t>TEST-VAR002</t>
        </is>
      </c>
      <c r="C5" s="23" t="n">
        <v>46027</v>
      </c>
      <c r="D5" s="6" t="n">
        <v>0</v>
      </c>
      <c r="E5" s="6" t="n">
        <v>20</v>
      </c>
      <c r="F5" s="6" t="n">
        <v>15</v>
      </c>
      <c r="G5" s="6" t="n">
        <v>2</v>
      </c>
      <c r="H5" s="20">
        <f>tblInventory[[#This Row],[Beginning Inventory]]+tblInventory[[#This Row],[Produced]]</f>
        <v/>
      </c>
      <c r="I5" s="20">
        <f>tblInventory[[#This Row],[Available]]-tblInventory[[#This Row],[Sold]]-tblInventory[[#This Row],[Samples]]</f>
        <v/>
      </c>
      <c r="J5" s="20">
        <f>IF(_xlfn.XLOOKUP(tblInventory[[#This Row],[Variation ID]],tblProductSetup[Variation ID],tblProductSetup[Spoils If Unsold],"Yes")="Yes",MAX(0,tblInventory[[#This Row],[Inventory Variance]]),0)</f>
        <v/>
      </c>
      <c r="K5" s="20">
        <f>IF(_xlfn.XLOOKUP(tblInventory[[#This Row],[Variation ID]],tblProductSetup[Variation ID],tblProductSetup[Spoils If Unsold],"Yes")="Yes",0,MAX(0,tblInventory[[#This Row],[Inventory Variance]]-tblInventory[[#This Row],[Spoilage]]))</f>
        <v/>
      </c>
      <c r="L5" s="20">
        <f>IF(tblInventory[[#This Row],[Inventory Variance]]&lt;0,"ERROR: SOLD/SAMPLES EXCEED AVAILABLE","OK")</f>
        <v/>
      </c>
      <c r="M5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tabColor rgb="00A5A5A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00A5A5A5"/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00A5A5A5"/>
    <outlinePr summaryBelow="1" summaryRight="1"/>
    <pageSetUpPr/>
  </sheetPr>
  <dimension ref="A1:K5"/>
  <sheetViews>
    <sheetView showGridLines="0" workbookViewId="0">
      <selection activeCell="A1" sqref="A1"/>
    </sheetView>
  </sheetViews>
  <sheetFormatPr baseColWidth="8" defaultRowHeight="15"/>
  <cols>
    <col width="22" customWidth="1" style="7" min="1" max="1"/>
    <col width="14" customWidth="1" style="7" min="2" max="2"/>
    <col width="15" customWidth="1" style="7" min="3" max="3"/>
    <col width="20" customWidth="1" style="7" min="4" max="4"/>
    <col width="16" customWidth="1" style="7" min="5" max="5"/>
    <col width="16" customWidth="1" style="7" min="6" max="6"/>
    <col width="15" customWidth="1" style="7" min="7" max="7"/>
    <col width="15" customWidth="1" style="7" min="8" max="8"/>
    <col width="18" customWidth="1" style="7" min="9" max="9"/>
    <col width="25" customWidth="1" style="7" min="10" max="10"/>
    <col width="12" customWidth="1" style="7" min="11" max="11"/>
  </cols>
  <sheetData>
    <row r="1" ht="24" customHeight="1" s="7">
      <c r="A1" s="1" t="inlineStr">
        <is>
          <t>MARKET RANKINGS</t>
        </is>
      </c>
    </row>
    <row r="3">
      <c r="A3" s="11" t="inlineStr">
        <is>
          <t>Market</t>
        </is>
      </c>
      <c r="B3" s="11" t="inlineStr">
        <is>
          <t>Visit Count</t>
        </is>
      </c>
      <c r="C3" s="11" t="inlineStr">
        <is>
          <t>Eligibility</t>
        </is>
      </c>
      <c r="D3" s="11" t="inlineStr">
        <is>
          <t>Lifetime Avg Profit</t>
        </is>
      </c>
      <c r="E3" s="11" t="inlineStr">
        <is>
          <t>Business Score</t>
        </is>
      </c>
      <c r="F3" s="11" t="inlineStr">
        <is>
          <t>Personal Score</t>
        </is>
      </c>
      <c r="G3" s="11" t="inlineStr">
        <is>
          <t>Business Rank</t>
        </is>
      </c>
      <c r="H3" s="11" t="inlineStr">
        <is>
          <t>Personal Rank</t>
        </is>
      </c>
      <c r="I3" s="11" t="inlineStr">
        <is>
          <t>Confidence</t>
        </is>
      </c>
      <c r="J3" s="11" t="inlineStr">
        <is>
          <t>Ranking Reason</t>
        </is>
      </c>
      <c r="K3" s="11" t="inlineStr">
        <is>
          <t>Test Record</t>
        </is>
      </c>
    </row>
    <row r="4">
      <c r="A4" s="6" t="inlineStr">
        <is>
          <t>TEST-ORLANDO</t>
        </is>
      </c>
      <c r="B4" s="6" t="n">
        <v>5</v>
      </c>
      <c r="C4" s="20">
        <f>IF(tblMarketRankings[[#This Row],[Visit Count]]&gt;=MarketRankingMinimumVisits,"Eligible","Not Ranked")</f>
        <v/>
      </c>
      <c r="D4" s="30" t="n">
        <v>200</v>
      </c>
      <c r="E4" s="6" t="n">
        <v>85</v>
      </c>
      <c r="F4" s="6" t="n">
        <v>80</v>
      </c>
      <c r="G4" s="20">
        <f>IF(OR(tblMarketRankings[[#This Row],[Eligibility]]&lt;&gt;"Eligible",tblMarketRankings[[#This Row],[Test Record]]&lt;&gt;"No"),"N/R",1+SUMPRODUCT(--(tblMarketRankings[Eligibility]="Eligible"),--(tblMarketRankings[Test Record]="No"),--(((tblMarketRankings[Business Score]&gt;tblMarketRankings[[#This Row],[Business Score]])+((tblMarketRankings[Business Score]=tblMarketRankings[[#This Row],[Business Score]])*(tblMarketRankings[Lifetime Avg Profit]&gt;tblMarketRankings[[#This Row],[Lifetime Avg Profit]]))+((tblMarketRankings[Business Score]=tblMarketRankings[[#This Row],[Business Score]])*(tblMarketRankings[Lifetime Avg Profit]=tblMarketRankings[[#This Row],[Lifetime Avg Profit]])*(tblMarketRankings[Visit Count]&gt;tblMarketRankings[[#This Row],[Visit Count]]))+((tblMarketRankings[Business Score]=tblMarketRankings[[#This Row],[Business Score]])*(tblMarketRankings[Lifetime Avg Profit]=tblMarketRankings[[#This Row],[Lifetime Avg Profit]])*(tblMarketRankings[Visit Count]=tblMarketRankings[[#This Row],[Visit Count]])*(tblMarketRankings[Market]&lt;tblMarketRankings[[#This Row],[Market]])))&gt;0)))</f>
        <v/>
      </c>
      <c r="H4" s="20">
        <f>IF(OR(tblMarketRankings[[#This Row],[Eligibility]]&lt;&gt;"Eligible",tblMarketRankings[[#This Row],[Test Record]]&lt;&gt;"No"),"N/R",1+SUMPRODUCT(--(tblMarketRankings[Eligibility]="Eligible"),--(tblMarketRankings[Test Record]="No"),--(((tblMarketRankings[Personal Score]&gt;tblMarketRankings[[#This Row],[Personal Score]])+((tblMarketRankings[Personal Score]=tblMarketRankings[[#This Row],[Personal Score]])*(tblMarketRankings[Lifetime Avg Profit]&gt;tblMarketRankings[[#This Row],[Lifetime Avg Profit]]))+((tblMarketRankings[Personal Score]=tblMarketRankings[[#This Row],[Personal Score]])*(tblMarketRankings[Lifetime Avg Profit]=tblMarketRankings[[#This Row],[Lifetime Avg Profit]])*(tblMarketRankings[Visit Count]&gt;tblMarketRankings[[#This Row],[Visit Count]]))+((tblMarketRankings[Personal Score]=tblMarketRankings[[#This Row],[Personal Score]])*(tblMarketRankings[Lifetime Avg Profit]=tblMarketRankings[[#This Row],[Lifetime Avg Profit]])*(tblMarketRankings[Visit Count]=tblMarketRankings[[#This Row],[Visit Count]])*(tblMarketRankings[Market]&lt;tblMarketRankings[[#This Row],[Market]])))&gt;0)))</f>
        <v/>
      </c>
      <c r="I4" s="20">
        <f>IF(tblMarketRankings[[#This Row],[Visit Count]]&lt;MarketRankingMinimumVisits,"Insufficient Data",IF(tblMarketRankings[[#This Row],[Visit Count]]&lt;10,"Medium","High"))</f>
        <v/>
      </c>
      <c r="J4" s="20">
        <f>IF(tblMarketRankings[[#This Row],[Test Record]]="Yes","Test Record",IF(tblMarketRankings[[#This Row],[Visit Count]]&lt;MarketRankingMinimumVisits,"Needs "&amp;(MarketRankingMinimumVisits-tblMarketRankings[[#This Row],[Visit Count]])&amp;" More Visits","Eligible"))</f>
        <v/>
      </c>
      <c r="K4" s="6" t="inlineStr">
        <is>
          <t>Yes</t>
        </is>
      </c>
    </row>
    <row r="5">
      <c r="A5" s="6" t="inlineStr">
        <is>
          <t>TEST-HAINES</t>
        </is>
      </c>
      <c r="B5" s="6" t="n">
        <v>5</v>
      </c>
      <c r="C5" s="20">
        <f>IF(tblMarketRankings[[#This Row],[Visit Count]]&gt;=MarketRankingMinimumVisits,"Eligible","Not Ranked")</f>
        <v/>
      </c>
      <c r="D5" s="30" t="n">
        <v>200</v>
      </c>
      <c r="E5" s="6" t="n">
        <v>85</v>
      </c>
      <c r="F5" s="6" t="n">
        <v>80</v>
      </c>
      <c r="G5" s="20">
        <f>IF(OR(tblMarketRankings[[#This Row],[Eligibility]]&lt;&gt;"Eligible",tblMarketRankings[[#This Row],[Test Record]]&lt;&gt;"No"),"N/R",1+SUMPRODUCT(--(tblMarketRankings[Eligibility]="Eligible"),--(tblMarketRankings[Test Record]="No"),--(((tblMarketRankings[Business Score]&gt;tblMarketRankings[[#This Row],[Business Score]])+((tblMarketRankings[Business Score]=tblMarketRankings[[#This Row],[Business Score]])*(tblMarketRankings[Lifetime Avg Profit]&gt;tblMarketRankings[[#This Row],[Lifetime Avg Profit]]))+((tblMarketRankings[Business Score]=tblMarketRankings[[#This Row],[Business Score]])*(tblMarketRankings[Lifetime Avg Profit]=tblMarketRankings[[#This Row],[Lifetime Avg Profit]])*(tblMarketRankings[Visit Count]&gt;tblMarketRankings[[#This Row],[Visit Count]]))+((tblMarketRankings[Business Score]=tblMarketRankings[[#This Row],[Business Score]])*(tblMarketRankings[Lifetime Avg Profit]=tblMarketRankings[[#This Row],[Lifetime Avg Profit]])*(tblMarketRankings[Visit Count]=tblMarketRankings[[#This Row],[Visit Count]])*(tblMarketRankings[Market]&lt;tblMarketRankings[[#This Row],[Market]])))&gt;0)))</f>
        <v/>
      </c>
      <c r="H5" s="20">
        <f>IF(OR(tblMarketRankings[[#This Row],[Eligibility]]&lt;&gt;"Eligible",tblMarketRankings[[#This Row],[Test Record]]&lt;&gt;"No"),"N/R",1+SUMPRODUCT(--(tblMarketRankings[Eligibility]="Eligible"),--(tblMarketRankings[Test Record]="No"),--(((tblMarketRankings[Personal Score]&gt;tblMarketRankings[[#This Row],[Personal Score]])+((tblMarketRankings[Personal Score]=tblMarketRankings[[#This Row],[Personal Score]])*(tblMarketRankings[Lifetime Avg Profit]&gt;tblMarketRankings[[#This Row],[Lifetime Avg Profit]]))+((tblMarketRankings[Personal Score]=tblMarketRankings[[#This Row],[Personal Score]])*(tblMarketRankings[Lifetime Avg Profit]=tblMarketRankings[[#This Row],[Lifetime Avg Profit]])*(tblMarketRankings[Visit Count]&gt;tblMarketRankings[[#This Row],[Visit Count]]))+((tblMarketRankings[Personal Score]=tblMarketRankings[[#This Row],[Personal Score]])*(tblMarketRankings[Lifetime Avg Profit]=tblMarketRankings[[#This Row],[Lifetime Avg Profit]])*(tblMarketRankings[Visit Count]=tblMarketRankings[[#This Row],[Visit Count]])*(tblMarketRankings[Market]&lt;tblMarketRankings[[#This Row],[Market]])))&gt;0)))</f>
        <v/>
      </c>
      <c r="I5" s="20">
        <f>IF(tblMarketRankings[[#This Row],[Visit Count]]&lt;MarketRankingMinimumVisits,"Insufficient Data",IF(tblMarketRankings[[#This Row],[Visit Count]]&lt;10,"Medium","High"))</f>
        <v/>
      </c>
      <c r="J5" s="20">
        <f>IF(tblMarketRankings[[#This Row],[Test Record]]="Yes","Test Record",IF(tblMarketRankings[[#This Row],[Visit Count]]&lt;MarketRankingMinimumVisits,"Needs "&amp;(MarketRankingMinimumVisits-tblMarketRankings[[#This Row],[Visit Count]])&amp;" More Visits","Eligible"))</f>
        <v/>
      </c>
      <c r="K5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tabColor rgb="00A5A5A5"/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30" customWidth="1" style="7" min="2" max="2"/>
    <col width="18" customWidth="1" style="7" min="3" max="3"/>
    <col width="14" customWidth="1" style="7" min="4" max="4"/>
    <col width="12" customWidth="1" style="7" min="5" max="5"/>
  </cols>
  <sheetData>
    <row r="1" ht="24" customHeight="1" s="7">
      <c r="A1" s="1" t="inlineStr">
        <is>
          <t>PRODUCT RANKINGS</t>
        </is>
      </c>
    </row>
    <row r="3">
      <c r="A3" s="11" t="inlineStr">
        <is>
          <t>Variation ID</t>
        </is>
      </c>
      <c r="B3" s="11" t="inlineStr">
        <is>
          <t>Product Name</t>
        </is>
      </c>
      <c r="C3" s="11" t="inlineStr">
        <is>
          <t>Annual Profit</t>
        </is>
      </c>
      <c r="D3" s="11" t="inlineStr">
        <is>
          <t>Profit Rank</t>
        </is>
      </c>
      <c r="E3" s="11" t="inlineStr">
        <is>
          <t>Test Record</t>
        </is>
      </c>
    </row>
    <row r="4">
      <c r="A4" s="6" t="inlineStr">
        <is>
          <t>TEST-VAR001</t>
        </is>
      </c>
      <c r="B4" s="6" t="inlineStr">
        <is>
          <t>Test Strawberry Jam 8 oz</t>
        </is>
      </c>
      <c r="C4" s="30" t="n">
        <v>500</v>
      </c>
      <c r="D4" s="6" t="n">
        <v>1</v>
      </c>
      <c r="E4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tabColor rgb="00A5A5A5"/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5" customWidth="1" style="7" min="1" max="1"/>
    <col width="20" customWidth="1" style="7" min="2" max="2"/>
    <col width="18" customWidth="1" style="7" min="3" max="3"/>
    <col width="20" customWidth="1" style="7" min="4" max="4"/>
    <col width="45" customWidth="1" style="7" min="5" max="5"/>
    <col width="14" customWidth="1" style="7" min="6" max="6"/>
    <col width="16" customWidth="1" style="7" min="7" max="7"/>
    <col width="40" customWidth="1" style="7" min="8" max="8"/>
  </cols>
  <sheetData>
    <row r="1" ht="24" customHeight="1" s="7">
      <c r="A1" s="1" t="inlineStr">
        <is>
          <t>ERROR LOG</t>
        </is>
      </c>
    </row>
    <row r="3">
      <c r="A3" s="11" t="inlineStr">
        <is>
          <t>Date Found</t>
        </is>
      </c>
      <c r="B3" s="11" t="inlineStr">
        <is>
          <t>Error Type</t>
        </is>
      </c>
      <c r="C3" s="11" t="inlineStr">
        <is>
          <t>Source</t>
        </is>
      </c>
      <c r="D3" s="11" t="inlineStr">
        <is>
          <t>Reference</t>
        </is>
      </c>
      <c r="E3" s="11" t="inlineStr">
        <is>
          <t>Description</t>
        </is>
      </c>
      <c r="F3" s="11" t="inlineStr">
        <is>
          <t>Severity</t>
        </is>
      </c>
      <c r="G3" s="11" t="inlineStr">
        <is>
          <t>Status</t>
        </is>
      </c>
      <c r="H3" s="11" t="inlineStr">
        <is>
          <t>Resolution Notes</t>
        </is>
      </c>
    </row>
    <row r="4">
      <c r="A4" s="24" t="n">
        <v>46027</v>
      </c>
      <c r="B4" s="6" t="inlineStr">
        <is>
          <t>Fixture</t>
        </is>
      </c>
      <c r="C4" s="6" t="inlineStr">
        <is>
          <t>TESTING</t>
        </is>
      </c>
      <c r="D4" s="6" t="inlineStr">
        <is>
          <t>TEST-001</t>
        </is>
      </c>
      <c r="E4" s="6" t="inlineStr">
        <is>
          <t>Test error-log fixture</t>
        </is>
      </c>
      <c r="F4" s="6" t="inlineStr">
        <is>
          <t>Low</t>
        </is>
      </c>
      <c r="G4" s="6" t="inlineStr">
        <is>
          <t>Resolved</t>
        </is>
      </c>
      <c r="H4" s="6" t="inlineStr">
        <is>
          <t>Fixture only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tabColor rgb="00A5A5A5"/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2" customWidth="1" style="7" min="1" max="1"/>
    <col width="15" customWidth="1" style="7" min="2" max="2"/>
    <col width="60" customWidth="1" style="7" min="3" max="3"/>
    <col width="12" customWidth="1" style="7" min="4" max="4"/>
    <col width="20" customWidth="1" style="7" min="5" max="5"/>
  </cols>
  <sheetData>
    <row r="1" ht="24" customHeight="1" s="7">
      <c r="A1" s="1" t="inlineStr">
        <is>
          <t>WORKBOOK VERSION</t>
        </is>
      </c>
    </row>
    <row r="2">
      <c r="B2" s="19" t="n"/>
    </row>
    <row r="3">
      <c r="A3" s="11" t="inlineStr">
        <is>
          <t>Version</t>
        </is>
      </c>
      <c r="B3" s="17" t="inlineStr">
        <is>
          <t>Date</t>
        </is>
      </c>
      <c r="C3" s="11" t="inlineStr">
        <is>
          <t>Change</t>
        </is>
      </c>
      <c r="D3" s="11" t="inlineStr">
        <is>
          <t>Tested</t>
        </is>
      </c>
      <c r="E3" s="11" t="inlineStr">
        <is>
          <t>Approved By</t>
        </is>
      </c>
    </row>
    <row r="4">
      <c r="A4" s="6" t="inlineStr">
        <is>
          <t>1.0</t>
        </is>
      </c>
      <c r="B4" s="23" t="n">
        <v>46290</v>
      </c>
      <c r="C4" s="6" t="inlineStr">
        <is>
          <t>Initial governed template</t>
        </is>
      </c>
      <c r="D4" s="6" t="inlineStr">
        <is>
          <t>Yes</t>
        </is>
      </c>
      <c r="E4" s="6" t="inlineStr"/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tabColor rgb="0070AD47"/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18" customWidth="1" style="7" min="2" max="2"/>
    <col width="30" customWidth="1" style="7" min="3" max="3"/>
    <col width="18" customWidth="1" style="7" min="4" max="4"/>
    <col width="14" customWidth="1" style="7" min="5" max="5"/>
    <col width="15" customWidth="1" style="7" min="6" max="6"/>
    <col width="15" customWidth="1" style="7" min="7" max="7"/>
    <col width="15" customWidth="1" style="7" min="8" max="8"/>
    <col width="12" customWidth="1" style="7" min="9" max="9"/>
  </cols>
  <sheetData>
    <row r="1" ht="24" customHeight="1" s="7">
      <c r="A1" s="1" t="inlineStr">
        <is>
          <t>SQUARE CATALOG (QUERY OUTPUT)</t>
        </is>
      </c>
    </row>
    <row r="3">
      <c r="A3" s="11" t="inlineStr">
        <is>
          <t>Variation ID</t>
        </is>
      </c>
      <c r="B3" s="11" t="inlineStr">
        <is>
          <t>Item ID</t>
        </is>
      </c>
      <c r="C3" s="11" t="inlineStr">
        <is>
          <t>Product Name</t>
        </is>
      </c>
      <c r="D3" s="11" t="inlineStr">
        <is>
          <t>Variation Name</t>
        </is>
      </c>
      <c r="E3" s="11" t="inlineStr">
        <is>
          <t>SKU</t>
        </is>
      </c>
      <c r="F3" s="11" t="inlineStr">
        <is>
          <t>First Seen Date</t>
        </is>
      </c>
      <c r="G3" s="11" t="inlineStr">
        <is>
          <t>Last Seen Date</t>
        </is>
      </c>
      <c r="H3" s="11" t="inlineStr">
        <is>
          <t>Active In Square</t>
        </is>
      </c>
      <c r="I3" s="11" t="inlineStr">
        <is>
          <t>Test Record</t>
        </is>
      </c>
    </row>
    <row r="4">
      <c r="A4" s="6" t="inlineStr">
        <is>
          <t>TEST-VAR001</t>
        </is>
      </c>
      <c r="B4" s="6" t="inlineStr">
        <is>
          <t>TEST-ITEM1</t>
        </is>
      </c>
      <c r="C4" s="6" t="inlineStr">
        <is>
          <t>Test Strawberry Jam</t>
        </is>
      </c>
      <c r="D4" s="6" t="inlineStr">
        <is>
          <t>8 oz</t>
        </is>
      </c>
      <c r="E4" s="6" t="inlineStr">
        <is>
          <t>T-SJ8</t>
        </is>
      </c>
      <c r="F4" s="24" t="n">
        <v>45809</v>
      </c>
      <c r="G4" s="24" t="n">
        <v>46027</v>
      </c>
      <c r="H4" s="6" t="inlineStr">
        <is>
          <t>Yes</t>
        </is>
      </c>
      <c r="I4" s="6" t="inlineStr">
        <is>
          <t>Yes</t>
        </is>
      </c>
    </row>
    <row r="5">
      <c r="A5" s="6" t="inlineStr">
        <is>
          <t>TEST-VAR002</t>
        </is>
      </c>
      <c r="B5" s="6" t="inlineStr">
        <is>
          <t>TEST-ITEM1</t>
        </is>
      </c>
      <c r="C5" s="6" t="inlineStr">
        <is>
          <t>Test Strawberry Jam</t>
        </is>
      </c>
      <c r="D5" s="6" t="inlineStr">
        <is>
          <t>16 oz</t>
        </is>
      </c>
      <c r="E5" s="6" t="inlineStr">
        <is>
          <t>T-SJ16</t>
        </is>
      </c>
      <c r="F5" s="24" t="n">
        <v>45809</v>
      </c>
      <c r="G5" s="24" t="n">
        <v>46027</v>
      </c>
      <c r="H5" s="6" t="inlineStr">
        <is>
          <t>Yes</t>
        </is>
      </c>
      <c r="I5" s="6" t="inlineStr">
        <is>
          <t>Yes</t>
        </is>
      </c>
    </row>
    <row r="6">
      <c r="A6" s="6" t="inlineStr">
        <is>
          <t>TEST-VAR003</t>
        </is>
      </c>
      <c r="B6" s="6" t="inlineStr">
        <is>
          <t>TEST-ITEM2</t>
        </is>
      </c>
      <c r="C6" s="6" t="inlineStr">
        <is>
          <t>Test Fresh Bread</t>
        </is>
      </c>
      <c r="D6" s="6" t="inlineStr">
        <is>
          <t>Regular</t>
        </is>
      </c>
      <c r="E6" s="6" t="inlineStr">
        <is>
          <t>T-BRD</t>
        </is>
      </c>
      <c r="F6" s="24" t="n">
        <v>45839</v>
      </c>
      <c r="G6" s="24" t="n">
        <v>46027</v>
      </c>
      <c r="H6" s="6" t="inlineStr">
        <is>
          <t>Yes</t>
        </is>
      </c>
      <c r="I6" s="6" t="inlineStr">
        <is>
          <t>Yes</t>
        </is>
      </c>
    </row>
    <row r="7">
      <c r="A7" s="6" t="inlineStr">
        <is>
          <t>TEST-VAR004</t>
        </is>
      </c>
      <c r="B7" s="6" t="inlineStr">
        <is>
          <t>TEST-ITEM3</t>
        </is>
      </c>
      <c r="C7" s="6" t="inlineStr">
        <is>
          <t>Test Hot Honey</t>
        </is>
      </c>
      <c r="D7" s="6" t="inlineStr">
        <is>
          <t>Regular</t>
        </is>
      </c>
      <c r="E7" s="6" t="inlineStr">
        <is>
          <t>T-HNY</t>
        </is>
      </c>
      <c r="F7" s="24" t="n">
        <v>45870</v>
      </c>
      <c r="G7" s="24" t="n">
        <v>46027</v>
      </c>
      <c r="H7" s="6" t="inlineStr">
        <is>
          <t>Yes</t>
        </is>
      </c>
      <c r="I7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0070AD47"/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20" customWidth="1" style="7" min="2" max="2"/>
    <col width="30" customWidth="1" style="7" min="3" max="3"/>
    <col width="16" customWidth="1" style="7" min="4" max="4"/>
    <col width="15" customWidth="1" style="7" min="5" max="5"/>
    <col width="22" customWidth="1" style="7" min="6" max="6"/>
    <col width="14" customWidth="1" style="7" min="7" max="7"/>
    <col width="14" customWidth="1" style="7" min="8" max="8"/>
    <col width="22" customWidth="1" style="7" min="9" max="9"/>
    <col width="22" customWidth="1" style="7" min="10" max="10"/>
    <col width="12" customWidth="1" style="7" min="11" max="11"/>
  </cols>
  <sheetData>
    <row r="1" ht="24" customHeight="1" s="7">
      <c r="A1" s="22" t="inlineStr">
        <is>
          <t>SALES DATA (QUERY OUTPUT)</t>
        </is>
      </c>
    </row>
    <row r="2">
      <c r="A2" s="19" t="n"/>
    </row>
    <row r="3">
      <c r="A3" s="17" t="inlineStr">
        <is>
          <t>Sale Timestamp</t>
        </is>
      </c>
      <c r="B3" s="11" t="inlineStr">
        <is>
          <t>Variation ID</t>
        </is>
      </c>
      <c r="C3" s="11" t="inlineStr">
        <is>
          <t>Product Name</t>
        </is>
      </c>
      <c r="D3" s="11" t="inlineStr">
        <is>
          <t>Quantity Sold</t>
        </is>
      </c>
      <c r="E3" s="11" t="inlineStr">
        <is>
          <t>Gross Sales</t>
        </is>
      </c>
      <c r="F3" s="11" t="inlineStr">
        <is>
          <t>Effective Product Cost</t>
        </is>
      </c>
      <c r="G3" s="11" t="inlineStr">
        <is>
          <t>COGS</t>
        </is>
      </c>
      <c r="H3" s="11" t="inlineStr">
        <is>
          <t>Square Fee</t>
        </is>
      </c>
      <c r="I3" s="11" t="inlineStr">
        <is>
          <t>Source File</t>
        </is>
      </c>
      <c r="J3" s="11" t="inlineStr">
        <is>
          <t>Duplicate Key</t>
        </is>
      </c>
      <c r="K3" s="11" t="inlineStr">
        <is>
          <t>Test Record</t>
        </is>
      </c>
    </row>
    <row r="4">
      <c r="A4" s="23" t="n">
        <v>46027.41666666666</v>
      </c>
      <c r="B4" s="6" t="inlineStr">
        <is>
          <t>TEST-VAR001</t>
        </is>
      </c>
      <c r="C4" s="6" t="inlineStr">
        <is>
          <t>Test Strawberry Jam 8 oz</t>
        </is>
      </c>
      <c r="D4" s="6" t="n">
        <v>15</v>
      </c>
      <c r="E4" s="30" t="n">
        <v>150</v>
      </c>
      <c r="F4" s="30" t="n">
        <v>2.15</v>
      </c>
      <c r="G4" s="25">
        <f>tblSalesData[[#This Row],[Quantity Sold]]*tblSalesData[[#This Row],[Effective Product Cost]]</f>
        <v/>
      </c>
      <c r="H4" s="30" t="n">
        <v>4.5</v>
      </c>
      <c r="I4" s="6" t="inlineStr">
        <is>
          <t>test_week1.csv</t>
        </is>
      </c>
      <c r="J4" s="6" t="inlineStr">
        <is>
          <t>TX1-L1</t>
        </is>
      </c>
      <c r="K4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7.xml><?xml version="1.0" encoding="utf-8"?>
<worksheet xmlns="http://schemas.openxmlformats.org/spreadsheetml/2006/main">
  <sheetPr>
    <tabColor rgb="0070AD47"/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22" customWidth="1" style="7" min="1" max="1"/>
    <col width="24" customWidth="1" style="7" min="2" max="2"/>
    <col width="20" customWidth="1" style="7" min="3" max="3"/>
    <col width="18" customWidth="1" style="7" min="4" max="4"/>
    <col width="16" customWidth="1" style="7" min="5" max="5"/>
    <col width="12" customWidth="1" style="7" min="6" max="6"/>
  </cols>
  <sheetData>
    <row r="1" ht="24" customHeight="1" s="7">
      <c r="A1" s="22" t="inlineStr">
        <is>
          <t>IMPORT LOG</t>
        </is>
      </c>
    </row>
    <row r="2">
      <c r="A2" s="19" t="n"/>
    </row>
    <row r="3">
      <c r="A3" s="17" t="inlineStr">
        <is>
          <t>Import Timestamp</t>
        </is>
      </c>
      <c r="B3" s="11" t="inlineStr">
        <is>
          <t>Source File</t>
        </is>
      </c>
      <c r="C3" s="11" t="inlineStr">
        <is>
          <t>Imported By</t>
        </is>
      </c>
      <c r="D3" s="11" t="inlineStr">
        <is>
          <t>Records Imported</t>
        </is>
      </c>
      <c r="E3" s="11" t="inlineStr">
        <is>
          <t>Status</t>
        </is>
      </c>
      <c r="F3" s="11" t="inlineStr">
        <is>
          <t>Test Record</t>
        </is>
      </c>
    </row>
    <row r="4">
      <c r="A4" s="23" t="n">
        <v>46028.33333333334</v>
      </c>
      <c r="B4" s="6" t="inlineStr">
        <is>
          <t>test_week1.csv</t>
        </is>
      </c>
      <c r="C4" s="6" t="inlineStr">
        <is>
          <t>Test User</t>
        </is>
      </c>
      <c r="D4" s="6" t="n">
        <v>1</v>
      </c>
      <c r="E4" s="6" t="inlineStr">
        <is>
          <t>Success</t>
        </is>
      </c>
      <c r="F4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tabColor rgb="0070AD47"/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18" customWidth="1" style="7" min="1" max="1"/>
    <col width="15" customWidth="1" style="7" min="2" max="2"/>
    <col width="18" customWidth="1" style="7" min="3" max="3"/>
    <col width="20" customWidth="1" style="7" min="4" max="4"/>
    <col width="22" customWidth="1" style="7" min="5" max="5"/>
    <col width="18" customWidth="1" style="7" min="6" max="6"/>
    <col width="18" customWidth="1" style="7" min="7" max="7"/>
    <col width="16" customWidth="1" style="7" min="8" max="8"/>
    <col width="14" customWidth="1" style="7" min="9" max="9"/>
    <col width="14" customWidth="1" style="7" min="10" max="10"/>
    <col width="12" customWidth="1" style="7" min="11" max="11"/>
  </cols>
  <sheetData>
    <row r="1" ht="24" customHeight="1" s="7">
      <c r="A1" s="1" t="inlineStr">
        <is>
          <t>INGREDIENT USAGE</t>
        </is>
      </c>
    </row>
    <row r="2">
      <c r="B2" s="19" t="n"/>
    </row>
    <row r="3">
      <c r="A3" s="11" t="inlineStr">
        <is>
          <t>Test Key</t>
        </is>
      </c>
      <c r="B3" s="17" t="inlineStr">
        <is>
          <t>Usage Date</t>
        </is>
      </c>
      <c r="C3" s="11" t="inlineStr">
        <is>
          <t>Recipe ID</t>
        </is>
      </c>
      <c r="D3" s="11" t="inlineStr">
        <is>
          <t>Variation ID</t>
        </is>
      </c>
      <c r="E3" s="11" t="inlineStr">
        <is>
          <t>Ingredient</t>
        </is>
      </c>
      <c r="F3" s="11" t="inlineStr">
        <is>
          <t>Quantity Produced</t>
        </is>
      </c>
      <c r="G3" s="11" t="inlineStr">
        <is>
          <t>Quantity Per Item</t>
        </is>
      </c>
      <c r="H3" s="11" t="inlineStr">
        <is>
          <t>Quantity Used</t>
        </is>
      </c>
      <c r="I3" s="11" t="inlineStr">
        <is>
          <t>Unit Cost</t>
        </is>
      </c>
      <c r="J3" s="11" t="inlineStr">
        <is>
          <t>Usage Cost</t>
        </is>
      </c>
      <c r="K3" s="11" t="inlineStr">
        <is>
          <t>Test Record</t>
        </is>
      </c>
    </row>
    <row r="4">
      <c r="A4" s="6" t="inlineStr">
        <is>
          <t>TEST-USAGE-1</t>
        </is>
      </c>
      <c r="B4" s="23" t="n">
        <v>46027</v>
      </c>
      <c r="C4" s="6" t="inlineStr">
        <is>
          <t>TEST-R001</t>
        </is>
      </c>
      <c r="D4" s="6" t="inlineStr">
        <is>
          <t>TEST-VAR001</t>
        </is>
      </c>
      <c r="E4" s="6" t="inlineStr">
        <is>
          <t>Strawberries</t>
        </is>
      </c>
      <c r="F4" s="6" t="n">
        <v>20</v>
      </c>
      <c r="G4" s="6" t="n">
        <v>0.4</v>
      </c>
      <c r="H4" s="20">
        <f>tblIngredientUsage[[#This Row],[Quantity Produced]]*tblIngredientUsage[[#This Row],[Quantity Per Item]]</f>
        <v/>
      </c>
      <c r="I4" s="20">
        <f>_xlfn.LET(Ing,tblIngredientUsage[[#This Row],[Ingredient]],Dt,tblIngredientUsage[[#This Row],[Usage Date]],EffDate,IFERROR(_xlfn.MAXIFS(tblIngredientCostHistory[Effective Date],tblIngredientCostHistory[Ingredient],Ing,tblIngredientCostHistory[Effective Date],"&lt;="&amp;Dt),0),IF(EffDate=0,"",_xlfn.XLOOKUP(1,(tblIngredientCostHistory[Ingredient]=Ing)*(tblIngredientCostHistory[Effective Date]=EffDate),tblIngredientCostHistory[Cost Per Unit],"")))</f>
        <v/>
      </c>
      <c r="J4" s="25">
        <f>IFERROR(tblIngredientUsage[[#This Row],[Quantity Used]]*tblIngredientUsage[[#This Row],[Unit Cost]],0)</f>
        <v/>
      </c>
      <c r="K4" s="6" t="inlineStr">
        <is>
          <t>Yes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24" customWidth="1" style="7" min="1" max="1"/>
    <col width="18" customWidth="1" style="7" min="2" max="2"/>
    <col width="24" customWidth="1" style="7" min="4" max="4"/>
    <col width="18" customWidth="1" style="7" min="5" max="5"/>
    <col width="24" customWidth="1" style="7" min="7" max="7"/>
    <col width="18" customWidth="1" style="7" min="8" max="8"/>
  </cols>
  <sheetData>
    <row r="1">
      <c r="A1" s="1" t="inlineStr">
        <is>
          <t>EXECUTIVE DASHBOARD</t>
        </is>
      </c>
    </row>
    <row r="3">
      <c r="A3" s="31" t="inlineStr">
        <is>
          <t>Weekly</t>
        </is>
      </c>
      <c r="D3" s="31" t="inlineStr">
        <is>
          <t>Monthly</t>
        </is>
      </c>
      <c r="G3" s="31" t="inlineStr">
        <is>
          <t>Year to Date</t>
        </is>
      </c>
    </row>
    <row r="4">
      <c r="A4" t="inlineStr">
        <is>
          <t>Weekly Revenue</t>
        </is>
      </c>
      <c r="B4" s="29">
        <f>SUMIFS(tblSalesData[Gross Sales],tblSalesData[Sale Timestamp],"&gt;="&amp;CurrentWeekStart,tblSalesData[Sale Timestamp],"&lt;"&amp;CurrentWeekEnd+1,tblSalesData[Test Record],"No")</f>
        <v/>
      </c>
      <c r="D4" t="inlineStr">
        <is>
          <t>Monthly Revenue</t>
        </is>
      </c>
      <c r="E4" s="29">
        <f>SUMIFS(tblSalesData[Gross Sales],tblSalesData[Sale Timestamp],"&gt;="&amp;CurrentMonthStart,tblSalesData[Sale Timestamp],"&lt;"&amp;EOMONTH(TODAY(),0)+1,tblSalesData[Test Record],"No")</f>
        <v/>
      </c>
      <c r="G4" t="inlineStr">
        <is>
          <t>YTD Revenue</t>
        </is>
      </c>
      <c r="H4" s="29">
        <f>SUMIFS(tblSalesData[Gross Sales],tblSalesData[Sale Timestamp],"&gt;="&amp;CurrentYearStart,tblSalesData[Sale Timestamp],"&lt;"&amp;TODAY()+1,tblSalesData[Test Record],"No")</f>
        <v/>
      </c>
    </row>
    <row r="5">
      <c r="A5" t="inlineStr">
        <is>
          <t>Weekly Profit</t>
        </is>
      </c>
      <c r="B5" s="29">
        <f>B4-B5-B6-B7-B8-B9</f>
        <v/>
      </c>
      <c r="D5" t="inlineStr">
        <is>
          <t>Monthly COGS</t>
        </is>
      </c>
      <c r="E5" s="29">
        <f>SUMIFS(tblSalesData[COGS],tblSalesData[Sale Timestamp],"&gt;="&amp;CurrentMonthStart,tblSalesData[Sale Timestamp],"&lt;"&amp;EOMONTH(TODAY(),0)+1,tblSalesData[Test Record],"No")</f>
        <v/>
      </c>
      <c r="G5" t="inlineStr">
        <is>
          <t>YTD COGS</t>
        </is>
      </c>
      <c r="H5" s="29">
        <f>SUMIFS(tblSalesData[COGS],tblSalesData[Sale Timestamp],"&gt;="&amp;CurrentYearStart,tblSalesData[Sale Timestamp],"&lt;"&amp;TODAY()+1,tblSalesData[Test Record],"No")</f>
        <v/>
      </c>
    </row>
    <row r="6">
      <c r="A6" t="inlineStr">
        <is>
          <t>Weekly COGS</t>
        </is>
      </c>
      <c r="B6" s="29">
        <f>SUMIFS(tblSalesData[COGS],tblSalesData[Sale Timestamp],"&gt;="&amp;CurrentWeekStart,tblSalesData[Sale Timestamp],"&lt;"&amp;CurrentWeekEnd+1,tblSalesData[Test Record],"No")</f>
        <v/>
      </c>
      <c r="D6" t="inlineStr">
        <is>
          <t>Monthly Market Fees</t>
        </is>
      </c>
      <c r="E6" s="29">
        <f>SUMIFS(tblWeeklyMarkets[Market Fee],tblWeeklyMarkets[Market Date],"&gt;="&amp;CurrentMonthStart,tblWeeklyMarkets[Market Date],"&lt;"&amp;EOMONTH(TODAY(),0)+1,tblWeeklyMarkets[Test Record],"No")</f>
        <v/>
      </c>
      <c r="G6" t="inlineStr">
        <is>
          <t>YTD Market Fees</t>
        </is>
      </c>
      <c r="H6" s="29">
        <f>SUMIFS(tblWeeklyMarkets[Market Fee],tblWeeklyMarkets[Market Date],"&gt;="&amp;CurrentYearStart,tblWeeklyMarkets[Market Date],"&lt;"&amp;TODAY()+1,tblWeeklyMarkets[Test Record],"No")</f>
        <v/>
      </c>
    </row>
    <row r="7">
      <c r="A7" t="inlineStr">
        <is>
          <t>Weekly Market Fees</t>
        </is>
      </c>
      <c r="B7" s="29">
        <f>SUMIFS(tblWeeklyMarkets[Market Fee],tblWeeklyMarkets[Market Date],"&gt;="&amp;CurrentWeekStart,tblWeeklyMarkets[Market Date],"&lt;="&amp;CurrentWeekEnd,tblWeeklyMarkets[Attendance Category],"Attended",tblWeeklyMarkets[Test Record],"No")</f>
        <v/>
      </c>
      <c r="D7" t="inlineStr">
        <is>
          <t>Monthly Travel</t>
        </is>
      </c>
      <c r="E7" s="29">
        <f>SUMIFS(tblWeeklyMarkets[Travel Cost],tblWeeklyMarkets[Market Date],"&gt;="&amp;CurrentMonthStart,tblWeeklyMarkets[Market Date],"&lt;"&amp;EOMONTH(TODAY(),0)+1,tblWeeklyMarkets[Test Record],"No")</f>
        <v/>
      </c>
      <c r="G7" t="inlineStr">
        <is>
          <t>YTD Travel</t>
        </is>
      </c>
      <c r="H7" s="29">
        <f>SUMIFS(tblWeeklyMarkets[Travel Cost],tblWeeklyMarkets[Market Date],"&gt;="&amp;CurrentYearStart,tblWeeklyMarkets[Market Date],"&lt;"&amp;TODAY()+1,tblWeeklyMarkets[Test Record],"No")</f>
        <v/>
      </c>
    </row>
    <row r="8">
      <c r="A8" t="inlineStr">
        <is>
          <t>Weekly Travel</t>
        </is>
      </c>
      <c r="B8" s="29">
        <f>SUMIFS(tblWeeklyMarkets[Travel Cost],tblWeeklyMarkets[Market Date],"&gt;="&amp;CurrentWeekStart,tblWeeklyMarkets[Market Date],"&lt;="&amp;CurrentWeekEnd,tblWeeklyMarkets[Test Record],"No")</f>
        <v/>
      </c>
      <c r="D8" t="inlineStr">
        <is>
          <t>Monthly Square Fees</t>
        </is>
      </c>
      <c r="E8" s="29">
        <f>SUMIFS(tblSalesData[Square Fee],tblSalesData[Sale Timestamp],"&gt;="&amp;CurrentMonthStart,tblSalesData[Sale Timestamp],"&lt;"&amp;EOMONTH(TODAY(),0)+1,tblSalesData[Test Record],"No")</f>
        <v/>
      </c>
      <c r="G8" t="inlineStr">
        <is>
          <t>YTD Square Fees</t>
        </is>
      </c>
      <c r="H8" s="29">
        <f>SUMIFS(tblSalesData[Square Fee],tblSalesData[Sale Timestamp],"&gt;="&amp;CurrentYearStart,tblSalesData[Sale Timestamp],"&lt;"&amp;TODAY()+1,tblSalesData[Test Record],"No")</f>
        <v/>
      </c>
    </row>
    <row r="9">
      <c r="A9" t="inlineStr">
        <is>
          <t>Weekly Square Fees</t>
        </is>
      </c>
      <c r="B9" s="29">
        <f>SUMIFS(tblSalesData[Square Fee],tblSalesData[Sale Timestamp],"&gt;="&amp;CurrentWeekStart,tblSalesData[Sale Timestamp],"&lt;"&amp;CurrentWeekEnd+1,tblSalesData[Test Record],"No")</f>
        <v/>
      </c>
      <c r="D9" t="inlineStr">
        <is>
          <t>Monthly Expenses</t>
        </is>
      </c>
      <c r="E9" s="29">
        <f>SUMIFS(tblExpenses[Amount],tblExpenses[Date],"&gt;="&amp;CurrentMonthStart,tblExpenses[Date],"&lt;"&amp;EOMONTH(TODAY(),0)+1,tblExpenses[Test Record],"No")</f>
        <v/>
      </c>
      <c r="G9" t="inlineStr">
        <is>
          <t>YTD Expenses</t>
        </is>
      </c>
      <c r="H9" s="29">
        <f>SUMIFS(tblExpenses[Amount],tblExpenses[Date],"&gt;="&amp;CurrentYearStart,tblExpenses[Date],"&lt;"&amp;TODAY()+1,tblExpenses[Test Record],"No")</f>
        <v/>
      </c>
    </row>
    <row r="10">
      <c r="A10" t="inlineStr">
        <is>
          <t>Weekly Other Expenses</t>
        </is>
      </c>
      <c r="B10" s="29">
        <f>SUMIFS(tblExpenses[Amount],tblExpenses[Date],"&gt;="&amp;CurrentWeekStart,tblExpenses[Date],"&lt;="&amp;CurrentWeekEnd,tblExpenses[Test Record],"No")</f>
        <v/>
      </c>
      <c r="D10" t="inlineStr">
        <is>
          <t>Monthly Profit</t>
        </is>
      </c>
      <c r="E10" s="29">
        <f>E4-E5-E6-E7-E8-E9</f>
        <v/>
      </c>
      <c r="G10" t="inlineStr">
        <is>
          <t>YTD Profit</t>
        </is>
      </c>
      <c r="H10" s="29">
        <f>H4-H5-H6-H7-H8-H9</f>
        <v/>
      </c>
    </row>
  </sheetData>
  <mergeCells count="1">
    <mergeCell ref="A1:J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style="7" min="1" max="1"/>
    <col width="16" customWidth="1" style="7" min="2" max="2"/>
    <col width="12" customWidth="1" style="7" min="3" max="3"/>
    <col width="22" customWidth="1" style="7" min="4" max="4"/>
    <col width="18" customWidth="1" style="7" min="5" max="5"/>
    <col width="12" customWidth="1" style="7" min="6" max="6"/>
  </cols>
  <sheetData>
    <row r="1">
      <c r="A1" s="1" t="inlineStr">
        <is>
          <t>DATA QUALITY DASHBOARD</t>
        </is>
      </c>
    </row>
    <row r="3">
      <c r="A3" s="33" t="inlineStr">
        <is>
          <t>Quality Area</t>
        </is>
      </c>
      <c r="B3" s="33" t="inlineStr">
        <is>
          <t>Open Issues</t>
        </is>
      </c>
      <c r="C3" s="33" t="inlineStr">
        <is>
          <t>Weight</t>
        </is>
      </c>
      <c r="D3" s="33" t="inlineStr">
        <is>
          <t>Weighted Deduction</t>
        </is>
      </c>
      <c r="E3" s="33" t="inlineStr">
        <is>
          <t>Status</t>
        </is>
      </c>
      <c r="F3" s="33" t="inlineStr">
        <is>
          <t>Test Record</t>
        </is>
      </c>
    </row>
    <row r="4">
      <c r="A4" t="inlineStr">
        <is>
          <t>Imports</t>
        </is>
      </c>
      <c r="B4" t="n">
        <v>0</v>
      </c>
      <c r="C4" t="n">
        <v>0.3</v>
      </c>
      <c r="D4">
        <f>MIN(100,tblDataQuality[[#This Row],[Open Issues]]*25)*tblDataQuality[[#This Row],[Weight]]</f>
        <v/>
      </c>
      <c r="E4">
        <f>IF(tblDataQuality[[#This Row],[Open Issues]]=0,"PASS","REVIEW")</f>
        <v/>
      </c>
      <c r="F4" t="inlineStr">
        <is>
          <t>No</t>
        </is>
      </c>
    </row>
    <row r="5">
      <c r="A5" t="inlineStr">
        <is>
          <t>Product Setup</t>
        </is>
      </c>
      <c r="B5" t="n">
        <v>0</v>
      </c>
      <c r="C5" t="n">
        <v>0.3</v>
      </c>
      <c r="D5">
        <f>MIN(100,tblDataQuality[[#This Row],[Open Issues]]*25)*tblDataQuality[[#This Row],[Weight]]</f>
        <v/>
      </c>
      <c r="E5">
        <f>IF(tblDataQuality[[#This Row],[Open Issues]]=0,"PASS","REVIEW")</f>
        <v/>
      </c>
      <c r="F5" t="inlineStr">
        <is>
          <t>No</t>
        </is>
      </c>
    </row>
    <row r="6">
      <c r="A6" t="inlineStr">
        <is>
          <t>Inventory</t>
        </is>
      </c>
      <c r="B6" t="n">
        <v>0</v>
      </c>
      <c r="C6" t="n">
        <v>0.2</v>
      </c>
      <c r="D6">
        <f>MIN(100,tblDataQuality[[#This Row],[Open Issues]]*25)*tblDataQuality[[#This Row],[Weight]]</f>
        <v/>
      </c>
      <c r="E6">
        <f>IF(tblDataQuality[[#This Row],[Open Issues]]=0,"PASS","REVIEW")</f>
        <v/>
      </c>
      <c r="F6" t="inlineStr">
        <is>
          <t>No</t>
        </is>
      </c>
    </row>
    <row r="7">
      <c r="A7" t="inlineStr">
        <is>
          <t>Testing</t>
        </is>
      </c>
      <c r="B7" t="n">
        <v>0</v>
      </c>
      <c r="C7" t="n">
        <v>0.2</v>
      </c>
      <c r="D7">
        <f>MIN(100,tblDataQuality[[#This Row],[Open Issues]]*25)*tblDataQuality[[#This Row],[Weight]]</f>
        <v/>
      </c>
      <c r="E7">
        <f>IF(tblDataQuality[[#This Row],[Open Issues]]=0,"PASS","REVIEW")</f>
        <v/>
      </c>
      <c r="F7" t="inlineStr">
        <is>
          <t>No</t>
        </is>
      </c>
    </row>
    <row r="10">
      <c r="A10" t="inlineStr">
        <is>
          <t>Health Score</t>
        </is>
      </c>
      <c r="B10" s="34">
        <f>MAX(0,100-SUM(tblDataQuality[Weighted Deduction]))</f>
        <v/>
      </c>
    </row>
    <row r="11">
      <c r="A11" t="inlineStr">
        <is>
          <t>Health Status</t>
        </is>
      </c>
      <c r="B11">
        <f>IF(B10&gt;=95,"Excellent",IF(B10&gt;=85,"Good",IF(B10&gt;=70,"Needs Review","Action Required")))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5"/>
  <sheetViews>
    <sheetView showGridLines="0" workbookViewId="0">
      <selection activeCell="A1" sqref="A1"/>
    </sheetView>
  </sheetViews>
  <sheetFormatPr baseColWidth="8" defaultRowHeight="15"/>
  <cols>
    <col width="18" customWidth="1" style="7" min="1" max="1"/>
    <col width="16" customWidth="1" style="7" min="2" max="2"/>
    <col width="16" customWidth="1" style="7" min="3" max="3"/>
    <col width="16" customWidth="1" style="7" min="4" max="4"/>
    <col width="16" customWidth="1" style="7" min="5" max="5"/>
    <col width="20" customWidth="1" style="7" min="6" max="6"/>
    <col width="20" customWidth="1" style="7" min="7" max="7"/>
    <col width="18" customWidth="1" style="7" min="8" max="8"/>
    <col width="12" customWidth="1" style="7" min="9" max="9"/>
  </cols>
  <sheetData>
    <row r="1">
      <c r="A1" s="1" t="inlineStr">
        <is>
          <t>FORECASTING</t>
        </is>
      </c>
    </row>
    <row r="3">
      <c r="A3" s="33" t="inlineStr">
        <is>
          <t>Metric</t>
        </is>
      </c>
      <c r="B3" s="33" t="inlineStr">
        <is>
          <t>Current Value</t>
        </is>
      </c>
      <c r="C3" s="33" t="inlineStr">
        <is>
          <t>4 Week Avg</t>
        </is>
      </c>
      <c r="D3" s="33" t="inlineStr">
        <is>
          <t>8 Week Avg</t>
        </is>
      </c>
      <c r="E3" s="33" t="inlineStr">
        <is>
          <t>13 Week Avg</t>
        </is>
      </c>
      <c r="F3" s="33" t="inlineStr">
        <is>
          <t>Next Week Forecast</t>
        </is>
      </c>
      <c r="G3" s="33" t="inlineStr">
        <is>
          <t>Next Month Forecast</t>
        </is>
      </c>
      <c r="H3" s="33" t="inlineStr">
        <is>
          <t>Confidence</t>
        </is>
      </c>
      <c r="I3" s="33" t="inlineStr">
        <is>
          <t>Test Record</t>
        </is>
      </c>
    </row>
    <row r="4">
      <c r="A4" t="inlineStr">
        <is>
          <t>Revenue</t>
        </is>
      </c>
      <c r="B4" t="n">
        <v>1000</v>
      </c>
      <c r="C4" t="n">
        <v>950</v>
      </c>
      <c r="D4" t="n">
        <v>900</v>
      </c>
      <c r="E4" t="n">
        <v>875</v>
      </c>
      <c r="F4">
        <f>ROUND(tblForecasting[[#This Row],[4 Week Avg]]*0.5+tblForecasting[[#This Row],[8 Week Avg]]*0.3+tblForecasting[[#This Row],[13 Week Avg]]*0.2,2)</f>
        <v/>
      </c>
      <c r="G4">
        <f>tblForecasting[[#This Row],[Next Week Forecast]]*4.345</f>
        <v/>
      </c>
      <c r="H4">
        <f>IF(ABS(tblForecasting[[#This Row],[4 Week Avg]]-tblForecasting[[#This Row],[13 Week Avg]])/MAX(1,tblForecasting[[#This Row],[13 Week Avg]])&lt;=0.10,"High",IF(ABS(tblForecasting[[#This Row],[4 Week Avg]]-tblForecasting[[#This Row],[13 Week Avg]])/MAX(1,tblForecasting[[#This Row],[13 Week Avg]])&lt;=0.25,"Medium","Low"))</f>
        <v/>
      </c>
      <c r="I4" t="inlineStr">
        <is>
          <t>Yes</t>
        </is>
      </c>
    </row>
    <row r="5">
      <c r="A5" t="inlineStr">
        <is>
          <t>Profit</t>
        </is>
      </c>
      <c r="B5" t="n">
        <v>250</v>
      </c>
      <c r="C5" t="n">
        <v>230</v>
      </c>
      <c r="D5" t="n">
        <v>215</v>
      </c>
      <c r="E5" t="n">
        <v>200</v>
      </c>
      <c r="F5">
        <f>ROUND(tblForecasting[[#This Row],[4 Week Avg]]*0.5+tblForecasting[[#This Row],[8 Week Avg]]*0.3+tblForecasting[[#This Row],[13 Week Avg]]*0.2,2)</f>
        <v/>
      </c>
      <c r="G5">
        <f>tblForecasting[[#This Row],[Next Week Forecast]]*4.345</f>
        <v/>
      </c>
      <c r="H5">
        <f>IF(ABS(tblForecasting[[#This Row],[4 Week Avg]]-tblForecasting[[#This Row],[13 Week Avg]])/MAX(1,tblForecasting[[#This Row],[13 Week Avg]])&lt;=0.10,"High",IF(ABS(tblForecasting[[#This Row],[4 Week Avg]]-tblForecasting[[#This Row],[13 Week Avg]])/MAX(1,tblForecasting[[#This Row],[13 Week Avg]])&lt;=0.25,"Medium","Low"))</f>
        <v/>
      </c>
      <c r="I5" t="inlineStr">
        <is>
          <t>Yes</t>
        </is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30" customWidth="1" style="7" min="2" max="2"/>
    <col width="15" customWidth="1" style="7" min="3" max="3"/>
    <col width="15" customWidth="1" style="7" min="4" max="4"/>
    <col width="15" customWidth="1" style="7" min="5" max="5"/>
    <col width="14" customWidth="1" style="7" min="6" max="6"/>
    <col width="14" customWidth="1" style="7" min="7" max="7"/>
    <col width="15" customWidth="1" style="7" min="8" max="8"/>
    <col width="14" customWidth="1" style="7" min="9" max="9"/>
    <col width="14" customWidth="1" style="7" min="10" max="10"/>
    <col width="18" customWidth="1" style="7" min="11" max="11"/>
    <col width="12" customWidth="1" style="7" min="12" max="12"/>
  </cols>
  <sheetData>
    <row r="1">
      <c r="A1" s="1" t="inlineStr">
        <is>
          <t>PRODUCT SCORECARDS</t>
        </is>
      </c>
    </row>
    <row r="3">
      <c r="A3" s="33" t="inlineStr">
        <is>
          <t>Variation ID</t>
        </is>
      </c>
      <c r="B3" s="33" t="inlineStr">
        <is>
          <t>Product Name</t>
        </is>
      </c>
      <c r="C3" s="33" t="inlineStr">
        <is>
          <t>Revenue</t>
        </is>
      </c>
      <c r="D3" s="33" t="inlineStr">
        <is>
          <t>COGS</t>
        </is>
      </c>
      <c r="E3" s="33" t="inlineStr">
        <is>
          <t>Profit</t>
        </is>
      </c>
      <c r="F3" s="33" t="inlineStr">
        <is>
          <t>Margin %</t>
        </is>
      </c>
      <c r="G3" s="33" t="inlineStr">
        <is>
          <t>Units Sold</t>
        </is>
      </c>
      <c r="H3" s="33" t="inlineStr">
        <is>
          <t>Waste Units</t>
        </is>
      </c>
      <c r="I3" s="33" t="inlineStr">
        <is>
          <t>Waste %</t>
        </is>
      </c>
      <c r="J3" s="33" t="inlineStr">
        <is>
          <t>Growth %</t>
        </is>
      </c>
      <c r="K3" s="33" t="inlineStr">
        <is>
          <t>Lifecycle Status</t>
        </is>
      </c>
      <c r="L3" s="33" t="inlineStr">
        <is>
          <t>Test Record</t>
        </is>
      </c>
    </row>
    <row r="4">
      <c r="A4" t="inlineStr">
        <is>
          <t>TEST-VAR001</t>
        </is>
      </c>
      <c r="B4" t="inlineStr">
        <is>
          <t>Test Strawberry Jam 8 oz</t>
        </is>
      </c>
      <c r="C4" t="n">
        <v>150</v>
      </c>
      <c r="D4" t="n">
        <v>32.25</v>
      </c>
      <c r="E4">
        <f>tblProductScorecards[[#This Row],[Revenue]]-tblProductScorecards[[#This Row],[COGS]]</f>
        <v/>
      </c>
      <c r="F4">
        <f>IFERROR(tblProductScorecards[[#This Row],[Profit]]/tblProductScorecards[[#This Row],[Revenue]],0)</f>
        <v/>
      </c>
      <c r="G4" t="n">
        <v>15</v>
      </c>
      <c r="H4" t="n">
        <v>3</v>
      </c>
      <c r="I4">
        <f>IFERROR(tblProductScorecards[[#This Row],[Waste Units]]/(tblProductScorecards[[#This Row],[Units Sold]]+tblProductScorecards[[#This Row],[Waste Units]]),0)</f>
        <v/>
      </c>
      <c r="J4" t="n">
        <v>0.1</v>
      </c>
      <c r="K4">
        <f>IF(tblProductScorecards[[#This Row],[Growth %]]&gt;=0.2,"Growing",IF(tblProductScorecards[[#This Row],[Growth %]]&lt;=-0.2,"Declining",IF(tblProductScorecards[[#This Row],[Units Sold]]&lt;10,"New","Stable")))</f>
        <v/>
      </c>
      <c r="L4" t="inlineStr">
        <is>
          <t>Yes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0" workbookViewId="0">
      <selection activeCell="A1" sqref="A1"/>
    </sheetView>
  </sheetViews>
  <sheetFormatPr baseColWidth="8" defaultRowHeight="15"/>
  <cols>
    <col width="22" customWidth="1" style="7" min="1" max="1"/>
    <col width="22" customWidth="1" style="7" min="2" max="2"/>
    <col width="22" customWidth="1" style="7" min="3" max="3"/>
    <col width="22" customWidth="1" style="7" min="4" max="4"/>
    <col width="18" customWidth="1" style="7" min="5" max="5"/>
    <col width="18" customWidth="1" style="7" min="6" max="6"/>
    <col width="20" customWidth="1" style="7" min="7" max="7"/>
    <col width="28" customWidth="1" style="7" min="8" max="8"/>
    <col width="12" customWidth="1" style="7" min="9" max="9"/>
  </cols>
  <sheetData>
    <row r="1">
      <c r="A1" s="1" t="inlineStr">
        <is>
          <t>MARKET OPPORTUNITY</t>
        </is>
      </c>
    </row>
    <row r="3">
      <c r="A3" s="33" t="inlineStr">
        <is>
          <t>Market</t>
        </is>
      </c>
      <c r="B3" s="33" t="inlineStr">
        <is>
          <t>Revenue Growth Score</t>
        </is>
      </c>
      <c r="C3" s="33" t="inlineStr">
        <is>
          <t>Profit Growth Score</t>
        </is>
      </c>
      <c r="D3" s="33" t="inlineStr">
        <is>
          <t>Visit Frequency Score</t>
        </is>
      </c>
      <c r="E3" s="33" t="inlineStr">
        <is>
          <t>Reliability Score</t>
        </is>
      </c>
      <c r="F3" s="33" t="inlineStr">
        <is>
          <t>Opportunity Score</t>
        </is>
      </c>
      <c r="G3" s="33" t="inlineStr">
        <is>
          <t>Opportunity Band</t>
        </is>
      </c>
      <c r="H3" s="33" t="inlineStr">
        <is>
          <t>Recommended Action</t>
        </is>
      </c>
      <c r="I3" s="33" t="inlineStr">
        <is>
          <t>Test Record</t>
        </is>
      </c>
    </row>
    <row r="4">
      <c r="A4" t="inlineStr">
        <is>
          <t>TEST-ORLANDO</t>
        </is>
      </c>
      <c r="B4" t="n">
        <v>80</v>
      </c>
      <c r="C4" t="n">
        <v>75</v>
      </c>
      <c r="D4" t="n">
        <v>60</v>
      </c>
      <c r="E4" t="n">
        <v>90</v>
      </c>
      <c r="F4">
        <f>tblMarketOpportunity[[#This Row],[Revenue Growth Score]]*0.30+tblMarketOpportunity[[#This Row],[Profit Growth Score]]*0.35+tblMarketOpportunity[[#This Row],[Visit Frequency Score]]*0.15+tblMarketOpportunity[[#This Row],[Reliability Score]]*0.20</f>
        <v/>
      </c>
      <c r="G4">
        <f>IF(tblMarketOpportunity[[#This Row],[Opportunity Score]]&gt;=80,"High",IF(tblMarketOpportunity[[#This Row],[Opportunity Score]]&gt;=60,"Medium","Low"))</f>
        <v/>
      </c>
      <c r="H4">
        <f>IF(tblMarketOpportunity[[#This Row],[Opportunity Band]]="High","Increase Attendance",IF(tblMarketOpportunity[[#This Row],[Opportunity Band]]="Medium","Monitor","Review"))</f>
        <v/>
      </c>
      <c r="I4" t="inlineStr">
        <is>
          <t>Yes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4" customWidth="1" style="7" min="1" max="1"/>
    <col width="18" customWidth="1" style="7" min="2" max="2"/>
    <col width="18" customWidth="1" style="7" min="3" max="3"/>
    <col width="14" customWidth="1" style="7" min="4" max="4"/>
    <col width="12" customWidth="1" style="7" min="5" max="5"/>
    <col width="30" customWidth="1" style="7" min="6" max="6"/>
  </cols>
  <sheetData>
    <row r="1">
      <c r="A1" s="1" t="inlineStr">
        <is>
          <t>RELEASE CERTIFICATION</t>
        </is>
      </c>
    </row>
    <row r="3">
      <c r="A3" s="33" t="inlineStr">
        <is>
          <t>Control</t>
        </is>
      </c>
      <c r="B3" s="33" t="inlineStr">
        <is>
          <t>Required Result</t>
        </is>
      </c>
      <c r="C3" s="33" t="inlineStr">
        <is>
          <t>Actual Result</t>
        </is>
      </c>
      <c r="D3" s="33" t="inlineStr">
        <is>
          <t>Pass/Fail</t>
        </is>
      </c>
      <c r="E3" s="33" t="inlineStr">
        <is>
          <t>Blocking</t>
        </is>
      </c>
      <c r="F3" s="33" t="inlineStr">
        <is>
          <t>Notes</t>
        </is>
      </c>
    </row>
    <row r="4">
      <c r="A4" t="inlineStr">
        <is>
          <t>All Tests</t>
        </is>
      </c>
      <c r="B4" t="inlineStr">
        <is>
          <t>PASS</t>
        </is>
      </c>
      <c r="C4" t="inlineStr">
        <is>
          <t>PASS</t>
        </is>
      </c>
      <c r="D4">
        <f>IF(tblReleaseCertification[[#This Row],[Actual Result]]=tblReleaseCertification[[#This Row],[Required Result]],"PASS","FAIL")</f>
        <v/>
      </c>
      <c r="E4" t="inlineStr">
        <is>
          <t>Yes</t>
        </is>
      </c>
      <c r="F4" t="inlineStr">
        <is>
          <t>Regression suite</t>
        </is>
      </c>
    </row>
    <row r="5">
      <c r="A5" t="inlineStr">
        <is>
          <t>Import Errors</t>
        </is>
      </c>
      <c r="B5" t="n">
        <v>0</v>
      </c>
      <c r="C5" t="n">
        <v>0</v>
      </c>
      <c r="D5">
        <f>IF(tblReleaseCertification[[#This Row],[Actual Result]]=tblReleaseCertification[[#This Row],[Required Result]],"PASS","FAIL")</f>
        <v/>
      </c>
      <c r="E5" t="inlineStr">
        <is>
          <t>Yes</t>
        </is>
      </c>
      <c r="F5" t="inlineStr">
        <is>
          <t>Open import errors</t>
        </is>
      </c>
    </row>
    <row r="6">
      <c r="A6" t="inlineStr">
        <is>
          <t>Inventory Errors</t>
        </is>
      </c>
      <c r="B6" t="n">
        <v>0</v>
      </c>
      <c r="C6" t="n">
        <v>0</v>
      </c>
      <c r="D6">
        <f>IF(tblReleaseCertification[[#This Row],[Actual Result]]=tblReleaseCertification[[#This Row],[Required Result]],"PASS","FAIL")</f>
        <v/>
      </c>
      <c r="E6" t="inlineStr">
        <is>
          <t>Yes</t>
        </is>
      </c>
      <c r="F6" t="inlineStr">
        <is>
          <t>Inventory movement errors</t>
        </is>
      </c>
    </row>
    <row r="7">
      <c r="A7" t="inlineStr">
        <is>
          <t>Missing Costs</t>
        </is>
      </c>
      <c r="B7" t="n">
        <v>0</v>
      </c>
      <c r="C7" t="n">
        <v>0</v>
      </c>
      <c r="D7">
        <f>IF(tblReleaseCertification[[#This Row],[Actual Result]]=tblReleaseCertification[[#This Row],[Required Result]],"PASS","FAIL")</f>
        <v/>
      </c>
      <c r="E7" t="inlineStr">
        <is>
          <t>Yes</t>
        </is>
      </c>
      <c r="F7" t="inlineStr">
        <is>
          <t>Product cost completeness</t>
        </is>
      </c>
    </row>
    <row r="8">
      <c r="A8" t="inlineStr">
        <is>
          <t>Missing Recipes</t>
        </is>
      </c>
      <c r="B8" t="n">
        <v>0</v>
      </c>
      <c r="C8" t="n">
        <v>0</v>
      </c>
      <c r="D8">
        <f>IF(tblReleaseCertification[[#This Row],[Actual Result]]=tblReleaseCertification[[#This Row],[Required Result]],"PASS","FAIL")</f>
        <v/>
      </c>
      <c r="E8" t="inlineStr">
        <is>
          <t>Yes</t>
        </is>
      </c>
      <c r="F8" t="inlineStr">
        <is>
          <t>Recipe completeness</t>
        </is>
      </c>
    </row>
    <row r="9">
      <c r="A9" t="inlineStr">
        <is>
          <t>Health Score</t>
        </is>
      </c>
      <c r="B9" t="n">
        <v>95</v>
      </c>
      <c r="C9" t="n">
        <v>100</v>
      </c>
      <c r="D9">
        <f>IF(tblReleaseCertification[[#This Row],[Actual Result]]=tblReleaseCertification[[#This Row],[Required Result]],"PASS","FAIL")</f>
        <v/>
      </c>
      <c r="E9" t="inlineStr">
        <is>
          <t>Yes</t>
        </is>
      </c>
      <c r="F9" t="inlineStr">
        <is>
          <t>Minimum quality score</t>
        </is>
      </c>
    </row>
    <row r="12">
      <c r="A12" t="inlineStr">
        <is>
          <t>Release Decision</t>
        </is>
      </c>
      <c r="B12">
        <f>IF(COUNTIFS(tblReleaseCertification[Pass/Fail],"FAIL",tblReleaseCertification[Blocking],"Yes")=0,"RELEASE APPROVED","RELEASE BLOCKED")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28" customWidth="1" style="7" min="1" max="1"/>
    <col width="14" customWidth="1" style="7" min="2" max="2"/>
    <col width="35" customWidth="1" style="7" min="3" max="3"/>
    <col width="24" customWidth="1" style="7" min="4" max="4"/>
    <col width="16" customWidth="1" style="7" min="5" max="5"/>
    <col width="14" customWidth="1" style="7" min="6" max="6"/>
    <col width="45" customWidth="1" style="7" min="7" max="7"/>
    <col width="12" customWidth="1" style="7" min="8" max="8"/>
  </cols>
  <sheetData>
    <row r="1">
      <c r="A1" s="1" t="inlineStr">
        <is>
          <t>POWER QUERY ARCHITECTURE</t>
        </is>
      </c>
    </row>
    <row r="3">
      <c r="A3" s="33" t="inlineStr">
        <is>
          <t>Query Name</t>
        </is>
      </c>
      <c r="B3" s="33" t="inlineStr">
        <is>
          <t>Layer</t>
        </is>
      </c>
      <c r="C3" s="33" t="inlineStr">
        <is>
          <t>Source</t>
        </is>
      </c>
      <c r="D3" s="33" t="inlineStr">
        <is>
          <t>Output</t>
        </is>
      </c>
      <c r="E3" s="33" t="inlineStr">
        <is>
          <t>Load Enabled</t>
        </is>
      </c>
      <c r="F3" s="33" t="inlineStr">
        <is>
          <t>Status</t>
        </is>
      </c>
      <c r="G3" s="33" t="inlineStr">
        <is>
          <t>Implementation Notes</t>
        </is>
      </c>
      <c r="H3" s="33" t="inlineStr">
        <is>
          <t>Test Record</t>
        </is>
      </c>
    </row>
    <row r="4">
      <c r="A4" t="inlineStr">
        <is>
          <t>qrySquareSales_Landing</t>
        </is>
      </c>
      <c r="B4" t="inlineStr">
        <is>
          <t>Landing</t>
        </is>
      </c>
      <c r="C4" t="inlineStr">
        <is>
          <t>Square sales CSV folder</t>
        </is>
      </c>
      <c r="D4" t="inlineStr">
        <is>
          <t>Connection Only</t>
        </is>
      </c>
      <c r="E4" t="inlineStr">
        <is>
          <t>No</t>
        </is>
      </c>
      <c r="F4" t="inlineStr">
        <is>
          <t>STUB</t>
        </is>
      </c>
      <c r="G4" t="inlineStr">
        <is>
          <t>Connect real export folder</t>
        </is>
      </c>
      <c r="H4" t="inlineStr">
        <is>
          <t>No</t>
        </is>
      </c>
    </row>
    <row r="5">
      <c r="A5" t="inlineStr">
        <is>
          <t>qrySquareCatalog_Landing</t>
        </is>
      </c>
      <c r="B5" t="inlineStr">
        <is>
          <t>Landing</t>
        </is>
      </c>
      <c r="C5" t="inlineStr">
        <is>
          <t>Square catalog export</t>
        </is>
      </c>
      <c r="D5" t="inlineStr">
        <is>
          <t>Connection Only</t>
        </is>
      </c>
      <c r="E5" t="inlineStr">
        <is>
          <t>No</t>
        </is>
      </c>
      <c r="F5" t="inlineStr">
        <is>
          <t>STUB</t>
        </is>
      </c>
      <c r="G5" t="inlineStr">
        <is>
          <t>Connect real catalog export</t>
        </is>
      </c>
      <c r="H5" t="inlineStr">
        <is>
          <t>No</t>
        </is>
      </c>
    </row>
    <row r="6">
      <c r="A6" t="inlineStr">
        <is>
          <t>qrySales_Staging</t>
        </is>
      </c>
      <c r="B6" t="inlineStr">
        <is>
          <t>Staging</t>
        </is>
      </c>
      <c r="C6" t="inlineStr">
        <is>
          <t>qrySquareSales_Landing</t>
        </is>
      </c>
      <c r="D6" t="inlineStr">
        <is>
          <t>Connection Only</t>
        </is>
      </c>
      <c r="E6" t="inlineStr">
        <is>
          <t>No</t>
        </is>
      </c>
      <c r="F6" t="inlineStr">
        <is>
          <t>STUB</t>
        </is>
      </c>
      <c r="G6" t="inlineStr">
        <is>
          <t>Normalize types and deduplicate</t>
        </is>
      </c>
      <c r="H6" t="inlineStr">
        <is>
          <t>No</t>
        </is>
      </c>
    </row>
    <row r="7">
      <c r="A7" t="inlineStr">
        <is>
          <t>qryCatalog_Staging</t>
        </is>
      </c>
      <c r="B7" t="inlineStr">
        <is>
          <t>Staging</t>
        </is>
      </c>
      <c r="C7" t="inlineStr">
        <is>
          <t>qrySquareCatalog_Landing</t>
        </is>
      </c>
      <c r="D7" t="inlineStr">
        <is>
          <t>Connection Only</t>
        </is>
      </c>
      <c r="E7" t="inlineStr">
        <is>
          <t>No</t>
        </is>
      </c>
      <c r="F7" t="inlineStr">
        <is>
          <t>STUB</t>
        </is>
      </c>
      <c r="G7" t="inlineStr">
        <is>
          <t>Normalize variation identifiers</t>
        </is>
      </c>
      <c r="H7" t="inlineStr">
        <is>
          <t>No</t>
        </is>
      </c>
    </row>
    <row r="8">
      <c r="A8" t="inlineStr">
        <is>
          <t>qryProductMaster</t>
        </is>
      </c>
      <c r="B8" t="inlineStr">
        <is>
          <t>Business</t>
        </is>
      </c>
      <c r="C8" t="inlineStr">
        <is>
          <t>Catalog + Product Setup + Costs + Recipes</t>
        </is>
      </c>
      <c r="D8" t="inlineStr">
        <is>
          <t>tblProductMaster</t>
        </is>
      </c>
      <c r="E8" t="inlineStr">
        <is>
          <t>Yes</t>
        </is>
      </c>
      <c r="F8" t="inlineStr">
        <is>
          <t>STUB</t>
        </is>
      </c>
      <c r="G8" t="inlineStr">
        <is>
          <t>Left join on Variation ID</t>
        </is>
      </c>
      <c r="H8" t="inlineStr">
        <is>
          <t>No</t>
        </is>
      </c>
    </row>
    <row r="9">
      <c r="A9" t="inlineStr">
        <is>
          <t>qryMarketSalesAssignment</t>
        </is>
      </c>
      <c r="B9" t="inlineStr">
        <is>
          <t>Business</t>
        </is>
      </c>
      <c r="C9" t="inlineStr">
        <is>
          <t>Sales + Weekly Markets</t>
        </is>
      </c>
      <c r="D9" t="inlineStr">
        <is>
          <t>Assigned Sales</t>
        </is>
      </c>
      <c r="E9" t="inlineStr">
        <is>
          <t>Yes</t>
        </is>
      </c>
      <c r="F9" t="inlineStr">
        <is>
          <t>STUB</t>
        </is>
      </c>
      <c r="G9" t="inlineStr">
        <is>
          <t>Use timestamps when source is connected</t>
        </is>
      </c>
      <c r="H9" t="inlineStr">
        <is>
          <t>No</t>
        </is>
      </c>
    </row>
    <row r="10">
      <c r="A10" t="inlineStr">
        <is>
          <t>qryOpsKPIs</t>
        </is>
      </c>
      <c r="B10" t="inlineStr">
        <is>
          <t>Dashboard</t>
        </is>
      </c>
      <c r="C10" t="inlineStr">
        <is>
          <t>Curated business tables</t>
        </is>
      </c>
      <c r="D10" t="inlineStr">
        <is>
          <t>Operations Dashboard</t>
        </is>
      </c>
      <c r="E10" t="inlineStr">
        <is>
          <t>Yes</t>
        </is>
      </c>
      <c r="F10" t="inlineStr">
        <is>
          <t>STUB</t>
        </is>
      </c>
      <c r="G10" t="inlineStr">
        <is>
          <t>Dashboard aggregation</t>
        </is>
      </c>
      <c r="H10" t="inlineStr">
        <is>
          <t>No</t>
        </is>
      </c>
    </row>
    <row r="11">
      <c r="A11" t="inlineStr">
        <is>
          <t>qryBusinessKPIs</t>
        </is>
      </c>
      <c r="B11" t="inlineStr">
        <is>
          <t>Dashboard</t>
        </is>
      </c>
      <c r="C11" t="inlineStr">
        <is>
          <t>Curated business tables</t>
        </is>
      </c>
      <c r="D11" t="inlineStr">
        <is>
          <t>Executive Dashboard</t>
        </is>
      </c>
      <c r="E11" t="inlineStr">
        <is>
          <t>Yes</t>
        </is>
      </c>
      <c r="F11" t="inlineStr">
        <is>
          <t>STUB</t>
        </is>
      </c>
      <c r="G11" t="inlineStr">
        <is>
          <t>Dashboard aggregation</t>
        </is>
      </c>
      <c r="H11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selection activeCell="A1" sqref="A1"/>
    </sheetView>
  </sheetViews>
  <sheetFormatPr baseColWidth="8" defaultRowHeight="15"/>
  <cols>
    <col width="20" customWidth="1" style="7" min="1" max="1"/>
    <col width="12" customWidth="1" style="7" min="2" max="2"/>
    <col width="20" customWidth="1" style="7" min="3" max="3"/>
    <col width="16" customWidth="1" style="7" min="4" max="4"/>
    <col width="15" customWidth="1" style="7" min="5" max="5"/>
    <col width="16" customWidth="1" style="7" min="6" max="6"/>
    <col width="16" customWidth="1" style="7" min="7" max="7"/>
    <col width="22" customWidth="1" style="7" min="8" max="8"/>
    <col width="20" customWidth="1" style="7" min="9" max="9"/>
    <col width="22" customWidth="1" style="7" min="10" max="10"/>
    <col width="12" customWidth="1" style="7" min="11" max="11"/>
  </cols>
  <sheetData>
    <row r="1">
      <c r="A1" s="1" t="inlineStr">
        <is>
          <t>REORDER POINT ENGINE</t>
        </is>
      </c>
    </row>
    <row r="3">
      <c r="A3" s="33" t="inlineStr">
        <is>
          <t>Ingredient</t>
        </is>
      </c>
      <c r="B3" s="33" t="inlineStr">
        <is>
          <t>On Hand</t>
        </is>
      </c>
      <c r="C3" s="33" t="inlineStr">
        <is>
          <t>Average Daily Usage</t>
        </is>
      </c>
      <c r="D3" s="33" t="inlineStr">
        <is>
          <t>Lead Time Days</t>
        </is>
      </c>
      <c r="E3" s="33" t="inlineStr">
        <is>
          <t>Safety Stock</t>
        </is>
      </c>
      <c r="F3" s="33" t="inlineStr">
        <is>
          <t>Reorder Point</t>
        </is>
      </c>
      <c r="G3" s="33" t="inlineStr">
        <is>
          <t>Needs Reorder</t>
        </is>
      </c>
      <c r="H3" s="33" t="inlineStr">
        <is>
          <t>Suggested Purchase Qty</t>
        </is>
      </c>
      <c r="I3" s="33" t="inlineStr">
        <is>
          <t>Estimated Unit Cost</t>
        </is>
      </c>
      <c r="J3" s="33" t="inlineStr">
        <is>
          <t>Estimated Purchase Cost</t>
        </is>
      </c>
      <c r="K3" s="33" t="inlineStr">
        <is>
          <t>Test Record</t>
        </is>
      </c>
    </row>
    <row r="4">
      <c r="A4" t="inlineStr">
        <is>
          <t>Sugar</t>
        </is>
      </c>
      <c r="B4" t="n">
        <v>10</v>
      </c>
      <c r="C4" t="n">
        <v>1.5</v>
      </c>
      <c r="D4" t="n">
        <v>7</v>
      </c>
      <c r="E4" t="n">
        <v>5</v>
      </c>
      <c r="F4">
        <f>ROUNDUP(tblReorderEngine[[#This Row],[Average Daily Usage]]*tblReorderEngine[[#This Row],[Lead Time Days]]+tblReorderEngine[[#This Row],[Safety Stock]],0)</f>
        <v/>
      </c>
      <c r="G4">
        <f>IF(tblReorderEngine[[#This Row],[On Hand]]&lt;=tblReorderEngine[[#This Row],[Reorder Point]],"ORDER","OK")</f>
        <v/>
      </c>
      <c r="H4">
        <f>MAX(0,tblReorderEngine[[#This Row],[Reorder Point]]-tblReorderEngine[[#This Row],[On Hand]])</f>
        <v/>
      </c>
      <c r="I4" t="n">
        <v>0.82</v>
      </c>
      <c r="J4">
        <f>tblReorderEngine[[#This Row],[Suggested Purchase Qty]]*tblReorderEngine[[#This Row],[Estimated Unit Cost]]</f>
        <v/>
      </c>
      <c r="K4" t="inlineStr">
        <is>
          <t>Yes</t>
        </is>
      </c>
    </row>
  </sheetData>
  <mergeCells count="1">
    <mergeCell ref="A1:J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selection activeCell="A1" sqref="A1"/>
    </sheetView>
  </sheetViews>
  <sheetFormatPr baseColWidth="8" defaultRowHeight="15"/>
  <cols>
    <col width="16" customWidth="1" style="7" min="1" max="1"/>
    <col width="20" customWidth="1" style="7" min="2" max="2"/>
    <col width="30" customWidth="1" style="7" min="3" max="3"/>
    <col width="18" customWidth="1" style="7" min="4" max="4"/>
    <col width="22" customWidth="1" style="7" min="5" max="5"/>
    <col width="18" customWidth="1" style="7" min="6" max="6"/>
    <col width="12" customWidth="1" style="7" min="7" max="7"/>
  </cols>
  <sheetData>
    <row r="1">
      <c r="A1" s="1" t="inlineStr">
        <is>
          <t>INVENTORY VALUATION</t>
        </is>
      </c>
    </row>
    <row r="3">
      <c r="A3" s="33" t="inlineStr">
        <is>
          <t>Inventory Date</t>
        </is>
      </c>
      <c r="B3" s="33" t="inlineStr">
        <is>
          <t>Variation ID</t>
        </is>
      </c>
      <c r="C3" s="33" t="inlineStr">
        <is>
          <t>Product Name</t>
        </is>
      </c>
      <c r="D3" s="33" t="inlineStr">
        <is>
          <t>Ending Inventory</t>
        </is>
      </c>
      <c r="E3" s="33" t="inlineStr">
        <is>
          <t>Effective Product Cost</t>
        </is>
      </c>
      <c r="F3" s="33" t="inlineStr">
        <is>
          <t>Inventory Value</t>
        </is>
      </c>
      <c r="G3" s="33" t="inlineStr">
        <is>
          <t>Test Record</t>
        </is>
      </c>
    </row>
    <row r="4">
      <c r="A4" s="35" t="n">
        <v>46027</v>
      </c>
      <c r="B4" t="inlineStr">
        <is>
          <t>TEST-VAR002</t>
        </is>
      </c>
      <c r="C4" t="inlineStr">
        <is>
          <t>Test Strawberry Jam 16 oz</t>
        </is>
      </c>
      <c r="D4" t="n">
        <v>3</v>
      </c>
      <c r="E4" t="n">
        <v>3.8</v>
      </c>
      <c r="F4">
        <f>tblInventoryValuation[[#This Row],[Ending Inventory]]*tblInventoryValuation[[#This Row],[Effective Product Cost]]</f>
        <v/>
      </c>
      <c r="G4" t="inlineStr">
        <is>
          <t>Yes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Dashboard Testing Matrix</t>
        </is>
      </c>
    </row>
    <row r="3">
      <c r="A3" t="inlineStr">
        <is>
          <t>Test ID</t>
        </is>
      </c>
      <c r="B3" t="inlineStr">
        <is>
          <t>Dashboard</t>
        </is>
      </c>
      <c r="C3" t="inlineStr">
        <is>
          <t>Control</t>
        </is>
      </c>
      <c r="D3" t="inlineStr">
        <is>
          <t>Expected</t>
        </is>
      </c>
      <c r="E3" t="inlineStr">
        <is>
          <t>Actual</t>
        </is>
      </c>
      <c r="F3" t="inlineStr">
        <is>
          <t>Status</t>
        </is>
      </c>
    </row>
    <row r="4">
      <c r="A4" t="inlineStr">
        <is>
          <t>DT001</t>
        </is>
      </c>
      <c r="B4" t="inlineStr">
        <is>
          <t>Executive</t>
        </is>
      </c>
      <c r="C4" t="inlineStr">
        <is>
          <t>Weekly Revenue</t>
        </is>
      </c>
      <c r="D4" t="inlineStr">
        <is>
          <t>Formula Exists</t>
        </is>
      </c>
      <c r="E4" t="inlineStr">
        <is>
          <t>MANUAL VERIFY</t>
        </is>
      </c>
      <c r="F4" t="inlineStr">
        <is>
          <t>PENDING</t>
        </is>
      </c>
    </row>
    <row r="5">
      <c r="A5" t="inlineStr">
        <is>
          <t>DT002</t>
        </is>
      </c>
      <c r="B5" t="inlineStr">
        <is>
          <t>Executive</t>
        </is>
      </c>
      <c r="C5" t="inlineStr">
        <is>
          <t>Weekly Profit</t>
        </is>
      </c>
      <c r="D5" t="inlineStr">
        <is>
          <t>Formula Exists</t>
        </is>
      </c>
      <c r="E5" t="inlineStr">
        <is>
          <t>MANUAL VERIFY</t>
        </is>
      </c>
      <c r="F5" t="inlineStr">
        <is>
          <t>PENDING</t>
        </is>
      </c>
    </row>
    <row r="6">
      <c r="A6" t="inlineStr">
        <is>
          <t>DT003</t>
        </is>
      </c>
      <c r="B6" t="inlineStr">
        <is>
          <t>Executive</t>
        </is>
      </c>
      <c r="C6" t="inlineStr">
        <is>
          <t>Monthly Revenue</t>
        </is>
      </c>
      <c r="D6" t="inlineStr">
        <is>
          <t>Formula Exists</t>
        </is>
      </c>
      <c r="E6" t="inlineStr">
        <is>
          <t>MANUAL VERIFY</t>
        </is>
      </c>
      <c r="F6" t="inlineStr">
        <is>
          <t>PENDING</t>
        </is>
      </c>
    </row>
    <row r="7">
      <c r="A7" t="inlineStr">
        <is>
          <t>DT004</t>
        </is>
      </c>
      <c r="B7" t="inlineStr">
        <is>
          <t>Data Quality</t>
        </is>
      </c>
      <c r="C7" t="inlineStr">
        <is>
          <t>Health Score</t>
        </is>
      </c>
      <c r="D7" t="inlineStr">
        <is>
          <t>0-100</t>
        </is>
      </c>
      <c r="E7" t="inlineStr">
        <is>
          <t>MANUAL VERIFY</t>
        </is>
      </c>
      <c r="F7" t="inlineStr">
        <is>
          <t>PENDING</t>
        </is>
      </c>
    </row>
    <row r="8">
      <c r="A8" t="inlineStr">
        <is>
          <t>DT005</t>
        </is>
      </c>
      <c r="B8" t="inlineStr">
        <is>
          <t>Release Cert</t>
        </is>
      </c>
      <c r="C8" t="inlineStr">
        <is>
          <t>Release Decision</t>
        </is>
      </c>
      <c r="D8" t="inlineStr">
        <is>
          <t>Exists</t>
        </is>
      </c>
      <c r="E8" t="inlineStr">
        <is>
          <t>MANUAL VERIFY</t>
        </is>
      </c>
      <c r="F8" t="inlineStr">
        <is>
          <t>PENDING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Test Dataset</t>
        </is>
      </c>
    </row>
    <row r="3">
      <c r="A3" t="inlineStr">
        <is>
          <t>Scenario</t>
        </is>
      </c>
      <c r="B3" t="inlineStr">
        <is>
          <t>Value</t>
        </is>
      </c>
    </row>
    <row r="4">
      <c r="A4" t="inlineStr">
        <is>
          <t>Markets</t>
        </is>
      </c>
      <c r="B4" t="n">
        <v>2</v>
      </c>
    </row>
    <row r="5">
      <c r="A5" t="inlineStr">
        <is>
          <t>Products</t>
        </is>
      </c>
      <c r="B5" t="n">
        <v>4</v>
      </c>
    </row>
    <row r="6">
      <c r="A6" t="inlineStr">
        <is>
          <t>Weeks</t>
        </is>
      </c>
      <c r="B6" t="n">
        <v>8</v>
      </c>
    </row>
    <row r="7">
      <c r="A7" t="inlineStr">
        <is>
          <t>Vacation Week</t>
        </is>
      </c>
      <c r="B7" t="n">
        <v>1</v>
      </c>
    </row>
    <row r="8">
      <c r="A8" t="inlineStr">
        <is>
          <t>Missing Import</t>
        </is>
      </c>
      <c r="B8" t="n">
        <v>1</v>
      </c>
    </row>
    <row r="9">
      <c r="A9" t="inlineStr">
        <is>
          <t>Setup Required Products</t>
        </is>
      </c>
      <c r="B9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Readiness</t>
        </is>
      </c>
    </row>
    <row r="3">
      <c r="A3" t="inlineStr">
        <is>
          <t>Regression Tests</t>
        </is>
      </c>
      <c r="B3">
        <f>Regression_Summary!B8</f>
        <v/>
      </c>
    </row>
    <row r="4">
      <c r="A4" t="inlineStr">
        <is>
          <t>Dashboard Tests</t>
        </is>
      </c>
      <c r="B4">
        <f>IF(COUNTIFS(tblRegressionTests[Category],"Dashboard",tblRegressionTests[Status],"FAIL")=0,"PASS","FAIL")</f>
        <v/>
      </c>
    </row>
    <row r="5">
      <c r="A5" t="inlineStr">
        <is>
          <t>Inventory Tests</t>
        </is>
      </c>
      <c r="B5">
        <f>IF(COUNTIFS(tblRegressionTests[Category],"Inventory",tblRegressionTests[Status],"FAIL")=0,"PASS","FAIL")</f>
        <v/>
      </c>
    </row>
    <row r="6">
      <c r="A6" t="inlineStr">
        <is>
          <t>Product Tests</t>
        </is>
      </c>
      <c r="B6">
        <f>IF(COUNTIFS(tblRegressionTests[Category],"Product",tblRegressionTests[Status],"FAIL")=0,"PASS","FAIL")</f>
        <v/>
      </c>
    </row>
    <row r="7">
      <c r="A7" t="inlineStr">
        <is>
          <t>Market/Governance Tests</t>
        </is>
      </c>
      <c r="B7">
        <f>IF(COUNTIFS(tblRegressionTests[Status],"FAIL",tblRegressionTests[Category],"Market")+COUNTIFS(tblRegressionTests[Status],"FAIL",tblRegressionTests[Category],"Governance")=0,"PASS","FAIL")</f>
        <v/>
      </c>
    </row>
    <row r="10">
      <c r="A10" t="inlineStr">
        <is>
          <t>Overall Status</t>
        </is>
      </c>
      <c r="B10">
        <f>IF(COUNTIF(B3:B7,"FAIL")&gt;0,"BLOCKED","READY FOR PRODUCTION")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style="7" min="1" max="1"/>
    <col width="16" customWidth="1" style="7" min="2" max="2"/>
    <col width="42" customWidth="1" style="7" min="3" max="3"/>
    <col width="20" customWidth="1" style="7" min="4" max="4"/>
    <col width="20" customWidth="1" style="7" min="5" max="5"/>
    <col width="12" customWidth="1" style="7" min="6" max="6"/>
    <col width="14" customWidth="1" style="7" min="7" max="7"/>
    <col width="35" customWidth="1" style="7" min="8" max="8"/>
  </cols>
  <sheetData>
    <row r="1">
      <c r="A1" s="1" t="inlineStr">
        <is>
          <t>110-Test Automated Regression Suite</t>
        </is>
      </c>
    </row>
    <row r="3">
      <c r="A3" s="33" t="inlineStr">
        <is>
          <t>Test ID</t>
        </is>
      </c>
      <c r="B3" s="33" t="inlineStr">
        <is>
          <t>Category</t>
        </is>
      </c>
      <c r="C3" s="33" t="inlineStr">
        <is>
          <t>Test Name</t>
        </is>
      </c>
      <c r="D3" s="33" t="inlineStr">
        <is>
          <t>Expected Result</t>
        </is>
      </c>
      <c r="E3" s="33" t="inlineStr">
        <is>
          <t>Actual Result</t>
        </is>
      </c>
      <c r="F3" s="33" t="inlineStr">
        <is>
          <t>Status</t>
        </is>
      </c>
      <c r="G3" s="33" t="inlineStr">
        <is>
          <t>Severity</t>
        </is>
      </c>
      <c r="H3" s="33" t="inlineStr">
        <is>
          <t>Notes</t>
        </is>
      </c>
    </row>
    <row r="4">
      <c r="A4" t="inlineStr">
        <is>
          <t>RT001</t>
        </is>
      </c>
      <c r="B4" t="inlineStr">
        <is>
          <t>Dashboard</t>
        </is>
      </c>
      <c r="C4" t="inlineStr">
        <is>
          <t>Executive weekly revenue formula</t>
        </is>
      </c>
      <c r="D4" t="inlineStr">
        <is>
          <t>PASS</t>
        </is>
      </c>
      <c r="E4">
        <f>IF(ISFORMULA(Executive_Dashboard!B4),"PASS","FAIL")</f>
        <v/>
      </c>
      <c r="F4">
        <f>IF(OR(E4="NOT FOUND",E4="ERROR"),"FAIL",IF(AND(ISNUMBER(D4),ISNUMBER(E4)),IF(ABS(D4-E4)&lt;0.01,"PASS","FAIL"),IF(D4=E4,"PASS","FAIL")))</f>
        <v/>
      </c>
      <c r="G4" t="inlineStr">
        <is>
          <t>Critical</t>
        </is>
      </c>
    </row>
    <row r="5">
      <c r="A5" t="inlineStr">
        <is>
          <t>RT002</t>
        </is>
      </c>
      <c r="B5" t="inlineStr">
        <is>
          <t>Dashboard</t>
        </is>
      </c>
      <c r="C5" t="inlineStr">
        <is>
          <t>Executive weekly profit formula</t>
        </is>
      </c>
      <c r="D5" t="inlineStr">
        <is>
          <t>PASS</t>
        </is>
      </c>
      <c r="E5">
        <f>IF(ISFORMULA(Executive_Dashboard!B5),"PASS","FAIL")</f>
        <v/>
      </c>
      <c r="F5">
        <f>IF(OR(E5="NOT FOUND",E5="ERROR"),"FAIL",IF(AND(ISNUMBER(D5),ISNUMBER(E5)),IF(ABS(D5-E5)&lt;0.01,"PASS","FAIL"),IF(D5=E5,"PASS","FAIL")))</f>
        <v/>
      </c>
      <c r="G5" t="inlineStr">
        <is>
          <t>Critical</t>
        </is>
      </c>
    </row>
    <row r="6">
      <c r="A6" t="inlineStr">
        <is>
          <t>RT003</t>
        </is>
      </c>
      <c r="B6" t="inlineStr">
        <is>
          <t>Dashboard</t>
        </is>
      </c>
      <c r="C6" t="inlineStr">
        <is>
          <t>Executive monthly revenue formula</t>
        </is>
      </c>
      <c r="D6" t="inlineStr">
        <is>
          <t>PASS</t>
        </is>
      </c>
      <c r="E6">
        <f>IF(ISFORMULA(Executive_Dashboard!E4),"PASS","FAIL")</f>
        <v/>
      </c>
      <c r="F6">
        <f>IF(OR(E6="NOT FOUND",E6="ERROR"),"FAIL",IF(AND(ISNUMBER(D6),ISNUMBER(E6)),IF(ABS(D6-E6)&lt;0.01,"PASS","FAIL"),IF(D6=E6,"PASS","FAIL")))</f>
        <v/>
      </c>
      <c r="G6" t="inlineStr">
        <is>
          <t>Critical</t>
        </is>
      </c>
    </row>
    <row r="7">
      <c r="A7" t="inlineStr">
        <is>
          <t>RT004</t>
        </is>
      </c>
      <c r="B7" t="inlineStr">
        <is>
          <t>Dashboard</t>
        </is>
      </c>
      <c r="C7" t="inlineStr">
        <is>
          <t>Executive monthly profit formula</t>
        </is>
      </c>
      <c r="D7" t="inlineStr">
        <is>
          <t>PASS</t>
        </is>
      </c>
      <c r="E7">
        <f>IF(ISFORMULA(Executive_Dashboard!E10),"PASS","FAIL")</f>
        <v/>
      </c>
      <c r="F7">
        <f>IF(OR(E7="NOT FOUND",E7="ERROR"),"FAIL",IF(AND(ISNUMBER(D7),ISNUMBER(E7)),IF(ABS(D7-E7)&lt;0.01,"PASS","FAIL"),IF(D7=E7,"PASS","FAIL")))</f>
        <v/>
      </c>
      <c r="G7" t="inlineStr">
        <is>
          <t>Critical</t>
        </is>
      </c>
    </row>
    <row r="8">
      <c r="A8" t="inlineStr">
        <is>
          <t>RT005</t>
        </is>
      </c>
      <c r="B8" t="inlineStr">
        <is>
          <t>Dashboard</t>
        </is>
      </c>
      <c r="C8" t="inlineStr">
        <is>
          <t>Executive YTD revenue formula</t>
        </is>
      </c>
      <c r="D8" t="inlineStr">
        <is>
          <t>PASS</t>
        </is>
      </c>
      <c r="E8">
        <f>IF(ISFORMULA(Executive_Dashboard!H4),"PASS","FAIL")</f>
        <v/>
      </c>
      <c r="F8">
        <f>IF(OR(E8="NOT FOUND",E8="ERROR"),"FAIL",IF(AND(ISNUMBER(D8),ISNUMBER(E8)),IF(ABS(D8-E8)&lt;0.01,"PASS","FAIL"),IF(D8=E8,"PASS","FAIL")))</f>
        <v/>
      </c>
      <c r="G8" t="inlineStr">
        <is>
          <t>Critical</t>
        </is>
      </c>
    </row>
    <row r="9">
      <c r="A9" t="inlineStr">
        <is>
          <t>RT006</t>
        </is>
      </c>
      <c r="B9" t="inlineStr">
        <is>
          <t>Dashboard</t>
        </is>
      </c>
      <c r="C9" t="inlineStr">
        <is>
          <t>Executive YTD profit formula</t>
        </is>
      </c>
      <c r="D9" t="inlineStr">
        <is>
          <t>PASS</t>
        </is>
      </c>
      <c r="E9">
        <f>IF(ISFORMULA(Executive_Dashboard!H10),"PASS","FAIL")</f>
        <v/>
      </c>
      <c r="F9">
        <f>IF(OR(E9="NOT FOUND",E9="ERROR"),"FAIL",IF(AND(ISNUMBER(D9),ISNUMBER(E9)),IF(ABS(D9-E9)&lt;0.01,"PASS","FAIL"),IF(D9=E9,"PASS","FAIL")))</f>
        <v/>
      </c>
      <c r="G9" t="inlineStr">
        <is>
          <t>Critical</t>
        </is>
      </c>
    </row>
    <row r="10">
      <c r="A10" t="inlineStr">
        <is>
          <t>RT007</t>
        </is>
      </c>
      <c r="B10" t="inlineStr">
        <is>
          <t>Dashboard</t>
        </is>
      </c>
      <c r="C10" t="inlineStr">
        <is>
          <t>Operations workbook health formula</t>
        </is>
      </c>
      <c r="D10" t="inlineStr">
        <is>
          <t>PASS</t>
        </is>
      </c>
      <c r="E10">
        <f>IF(ISFORMULA(Operations_Dashboard!B4),"PASS","FAIL")</f>
        <v/>
      </c>
      <c r="F10">
        <f>IF(OR(E10="NOT FOUND",E10="ERROR"),"FAIL",IF(AND(ISNUMBER(D10),ISNUMBER(E10)),IF(ABS(D10-E10)&lt;0.01,"PASS","FAIL"),IF(D10=E10,"PASS","FAIL")))</f>
        <v/>
      </c>
      <c r="G10" t="inlineStr">
        <is>
          <t>Critical</t>
        </is>
      </c>
    </row>
    <row r="11">
      <c r="A11" t="inlineStr">
        <is>
          <t>RT008</t>
        </is>
      </c>
      <c r="B11" t="inlineStr">
        <is>
          <t>Dashboard</t>
        </is>
      </c>
      <c r="C11" t="inlineStr">
        <is>
          <t>Operations missing import formula</t>
        </is>
      </c>
      <c r="D11" t="inlineStr">
        <is>
          <t>PASS</t>
        </is>
      </c>
      <c r="E11">
        <f>IF(ISFORMULA(Operations_Dashboard!B5),"PASS","FAIL")</f>
        <v/>
      </c>
      <c r="F11">
        <f>IF(OR(E11="NOT FOUND",E11="ERROR"),"FAIL",IF(AND(ISNUMBER(D11),ISNUMBER(E11)),IF(ABS(D11-E11)&lt;0.01,"PASS","FAIL"),IF(D11=E11,"PASS","FAIL")))</f>
        <v/>
      </c>
      <c r="G11" t="inlineStr">
        <is>
          <t>Critical</t>
        </is>
      </c>
    </row>
    <row r="12">
      <c r="A12" t="inlineStr">
        <is>
          <t>RT009</t>
        </is>
      </c>
      <c r="B12" t="inlineStr">
        <is>
          <t>Dashboard</t>
        </is>
      </c>
      <c r="C12" t="inlineStr">
        <is>
          <t>Operations product readiness formula</t>
        </is>
      </c>
      <c r="D12" t="inlineStr">
        <is>
          <t>PASS</t>
        </is>
      </c>
      <c r="E12">
        <f>IF(ISFORMULA(Operations_Dashboard!E4),"PASS","FAIL")</f>
        <v/>
      </c>
      <c r="F12">
        <f>IF(OR(E12="NOT FOUND",E12="ERROR"),"FAIL",IF(AND(ISNUMBER(D12),ISNUMBER(E12)),IF(ABS(D12-E12)&lt;0.01,"PASS","FAIL"),IF(D12=E12,"PASS","FAIL")))</f>
        <v/>
      </c>
      <c r="G12" t="inlineStr">
        <is>
          <t>Critical</t>
        </is>
      </c>
    </row>
    <row r="13">
      <c r="A13" t="inlineStr">
        <is>
          <t>RT010</t>
        </is>
      </c>
      <c r="B13" t="inlineStr">
        <is>
          <t>Dashboard</t>
        </is>
      </c>
      <c r="C13" t="inlineStr">
        <is>
          <t>Operations inventory snapshot formula</t>
        </is>
      </c>
      <c r="D13" t="inlineStr">
        <is>
          <t>PASS</t>
        </is>
      </c>
      <c r="E13">
        <f>IF(ISFORMULA(Operations_Dashboard!H4),"PASS","FAIL")</f>
        <v/>
      </c>
      <c r="F13">
        <f>IF(OR(E13="NOT FOUND",E13="ERROR"),"FAIL",IF(AND(ISNUMBER(D13),ISNUMBER(E13)),IF(ABS(D13-E13)&lt;0.01,"PASS","FAIL"),IF(D13=E13,"PASS","FAIL")))</f>
        <v/>
      </c>
      <c r="G13" t="inlineStr">
        <is>
          <t>Critical</t>
        </is>
      </c>
    </row>
    <row r="14">
      <c r="A14" t="inlineStr">
        <is>
          <t>RT011</t>
        </is>
      </c>
      <c r="B14" t="inlineStr">
        <is>
          <t>Dashboard</t>
        </is>
      </c>
      <c r="C14" t="inlineStr">
        <is>
          <t>Business weekly revenue formula</t>
        </is>
      </c>
      <c r="D14" t="inlineStr">
        <is>
          <t>PASS</t>
        </is>
      </c>
      <c r="E14">
        <f>IF(ISFORMULA(Business_Dashboard!B4),"PASS","FAIL")</f>
        <v/>
      </c>
      <c r="F14">
        <f>IF(OR(E14="NOT FOUND",E14="ERROR"),"FAIL",IF(AND(ISNUMBER(D14),ISNUMBER(E14)),IF(ABS(D14-E14)&lt;0.01,"PASS","FAIL"),IF(D14=E14,"PASS","FAIL")))</f>
        <v/>
      </c>
      <c r="G14" t="inlineStr">
        <is>
          <t>Critical</t>
        </is>
      </c>
    </row>
    <row r="15">
      <c r="A15" t="inlineStr">
        <is>
          <t>RT012</t>
        </is>
      </c>
      <c r="B15" t="inlineStr">
        <is>
          <t>Dashboard</t>
        </is>
      </c>
      <c r="C15" t="inlineStr">
        <is>
          <t>Business weekly profit formula</t>
        </is>
      </c>
      <c r="D15" t="inlineStr">
        <is>
          <t>PASS</t>
        </is>
      </c>
      <c r="E15">
        <f>IF(ISFORMULA(Business_Dashboard!B10),"PASS","FAIL")</f>
        <v/>
      </c>
      <c r="F15">
        <f>IF(OR(E15="NOT FOUND",E15="ERROR"),"FAIL",IF(AND(ISNUMBER(D15),ISNUMBER(E15)),IF(ABS(D15-E15)&lt;0.01,"PASS","FAIL"),IF(D15=E15,"PASS","FAIL")))</f>
        <v/>
      </c>
      <c r="G15" t="inlineStr">
        <is>
          <t>Critical</t>
        </is>
      </c>
    </row>
    <row r="16">
      <c r="A16" t="inlineStr">
        <is>
          <t>RT013</t>
        </is>
      </c>
      <c r="B16" t="inlineStr">
        <is>
          <t>Dashboard</t>
        </is>
      </c>
      <c r="C16" t="inlineStr">
        <is>
          <t>Best product formula</t>
        </is>
      </c>
      <c r="D16" t="inlineStr">
        <is>
          <t>PASS</t>
        </is>
      </c>
      <c r="E16">
        <f>IF(ISFORMULA(Business_Dashboard!E4),"PASS","FAIL")</f>
        <v/>
      </c>
      <c r="F16">
        <f>IF(OR(E16="NOT FOUND",E16="ERROR"),"FAIL",IF(AND(ISNUMBER(D16),ISNUMBER(E16)),IF(ABS(D16-E16)&lt;0.01,"PASS","FAIL"),IF(D16=E16,"PASS","FAIL")))</f>
        <v/>
      </c>
      <c r="G16" t="inlineStr">
        <is>
          <t>Critical</t>
        </is>
      </c>
    </row>
    <row r="17">
      <c r="A17" t="inlineStr">
        <is>
          <t>RT014</t>
        </is>
      </c>
      <c r="B17" t="inlineStr">
        <is>
          <t>Dashboard</t>
        </is>
      </c>
      <c r="C17" t="inlineStr">
        <is>
          <t>Best market formula</t>
        </is>
      </c>
      <c r="D17" t="inlineStr">
        <is>
          <t>PASS</t>
        </is>
      </c>
      <c r="E17">
        <f>IF(ISFORMULA(Business_Dashboard!E5),"PASS","FAIL")</f>
        <v/>
      </c>
      <c r="F17">
        <f>IF(OR(E17="NOT FOUND",E17="ERROR"),"FAIL",IF(AND(ISNUMBER(D17),ISNUMBER(E17)),IF(ABS(D17-E17)&lt;0.01,"PASS","FAIL"),IF(D17=E17,"PASS","FAIL")))</f>
        <v/>
      </c>
      <c r="G17" t="inlineStr">
        <is>
          <t>Critical</t>
        </is>
      </c>
    </row>
    <row r="18">
      <c r="A18" t="inlineStr">
        <is>
          <t>RT015</t>
        </is>
      </c>
      <c r="B18" t="inlineStr">
        <is>
          <t>Dashboard</t>
        </is>
      </c>
      <c r="C18" t="inlineStr">
        <is>
          <t>Setup completion formula</t>
        </is>
      </c>
      <c r="D18" t="inlineStr">
        <is>
          <t>PASS</t>
        </is>
      </c>
      <c r="E18">
        <f>IF(ISFORMULA(Business_Dashboard!H4),"PASS","FAIL")</f>
        <v/>
      </c>
      <c r="F18">
        <f>IF(OR(E18="NOT FOUND",E18="ERROR"),"FAIL",IF(AND(ISNUMBER(D18),ISNUMBER(E18)),IF(ABS(D18-E18)&lt;0.01,"PASS","FAIL"),IF(D18=E18,"PASS","FAIL")))</f>
        <v/>
      </c>
      <c r="G18" t="inlineStr">
        <is>
          <t>Critical</t>
        </is>
      </c>
    </row>
    <row r="19">
      <c r="A19" t="inlineStr">
        <is>
          <t>RT016</t>
        </is>
      </c>
      <c r="B19" t="inlineStr">
        <is>
          <t>Dashboard</t>
        </is>
      </c>
      <c r="C19" t="inlineStr">
        <is>
          <t>Waste percentage formula</t>
        </is>
      </c>
      <c r="D19" t="inlineStr">
        <is>
          <t>PASS</t>
        </is>
      </c>
      <c r="E19">
        <f>IF(ISFORMULA(Business_Dashboard!H5),"PASS","FAIL")</f>
        <v/>
      </c>
      <c r="F19">
        <f>IF(OR(E19="NOT FOUND",E19="ERROR"),"FAIL",IF(AND(ISNUMBER(D19),ISNUMBER(E19)),IF(ABS(D19-E19)&lt;0.01,"PASS","FAIL"),IF(D19=E19,"PASS","FAIL")))</f>
        <v/>
      </c>
      <c r="G19" t="inlineStr">
        <is>
          <t>Critical</t>
        </is>
      </c>
    </row>
    <row r="20">
      <c r="A20" t="inlineStr">
        <is>
          <t>RT017</t>
        </is>
      </c>
      <c r="B20" t="inlineStr">
        <is>
          <t>Dashboard</t>
        </is>
      </c>
      <c r="C20" t="inlineStr">
        <is>
          <t>Data quality health score formula</t>
        </is>
      </c>
      <c r="D20" t="inlineStr">
        <is>
          <t>PASS</t>
        </is>
      </c>
      <c r="E20">
        <f>IF(ISFORMULA(Data_Quality!B10),"PASS","FAIL")</f>
        <v/>
      </c>
      <c r="F20">
        <f>IF(OR(E20="NOT FOUND",E20="ERROR"),"FAIL",IF(AND(ISNUMBER(D20),ISNUMBER(E20)),IF(ABS(D20-E20)&lt;0.01,"PASS","FAIL"),IF(D20=E20,"PASS","FAIL")))</f>
        <v/>
      </c>
      <c r="G20" t="inlineStr">
        <is>
          <t>Critical</t>
        </is>
      </c>
    </row>
    <row r="21">
      <c r="A21" t="inlineStr">
        <is>
          <t>RT018</t>
        </is>
      </c>
      <c r="B21" t="inlineStr">
        <is>
          <t>Dashboard</t>
        </is>
      </c>
      <c r="C21" t="inlineStr">
        <is>
          <t>Data quality health status formula</t>
        </is>
      </c>
      <c r="D21" t="inlineStr">
        <is>
          <t>PASS</t>
        </is>
      </c>
      <c r="E21">
        <f>IF(ISFORMULA(Data_Quality!B11),"PASS","FAIL")</f>
        <v/>
      </c>
      <c r="F21">
        <f>IF(OR(E21="NOT FOUND",E21="ERROR"),"FAIL",IF(AND(ISNUMBER(D21),ISNUMBER(E21)),IF(ABS(D21-E21)&lt;0.01,"PASS","FAIL"),IF(D21=E21,"PASS","FAIL")))</f>
        <v/>
      </c>
      <c r="G21" t="inlineStr">
        <is>
          <t>Critical</t>
        </is>
      </c>
    </row>
    <row r="22">
      <c r="A22" t="inlineStr">
        <is>
          <t>RT019</t>
        </is>
      </c>
      <c r="B22" t="inlineStr">
        <is>
          <t>Dashboard</t>
        </is>
      </c>
      <c r="C22" t="inlineStr">
        <is>
          <t>Release decision formula</t>
        </is>
      </c>
      <c r="D22" t="inlineStr">
        <is>
          <t>PASS</t>
        </is>
      </c>
      <c r="E22">
        <f>IF(ISFORMULA(Release_Certification!B12),"PASS","FAIL")</f>
        <v/>
      </c>
      <c r="F22">
        <f>IF(OR(E22="NOT FOUND",E22="ERROR"),"FAIL",IF(AND(ISNUMBER(D22),ISNUMBER(E22)),IF(ABS(D22-E22)&lt;0.01,"PASS","FAIL"),IF(D22=E22,"PASS","FAIL")))</f>
        <v/>
      </c>
      <c r="G22" t="inlineStr">
        <is>
          <t>Critical</t>
        </is>
      </c>
    </row>
    <row r="23">
      <c r="A23" t="inlineStr">
        <is>
          <t>RT020</t>
        </is>
      </c>
      <c r="B23" t="inlineStr">
        <is>
          <t>Dashboard</t>
        </is>
      </c>
      <c r="C23" t="inlineStr">
        <is>
          <t>Forecast next week formula</t>
        </is>
      </c>
      <c r="D23" t="inlineStr">
        <is>
          <t>PASS</t>
        </is>
      </c>
      <c r="E23">
        <f>IF(ISFORMULA(Forecasting!F4),"PASS","FAIL")</f>
        <v/>
      </c>
      <c r="F23">
        <f>IF(OR(E23="NOT FOUND",E23="ERROR"),"FAIL",IF(AND(ISNUMBER(D23),ISNUMBER(E23)),IF(ABS(D23-E23)&lt;0.01,"PASS","FAIL"),IF(D23=E23,"PASS","FAIL")))</f>
        <v/>
      </c>
      <c r="G23" t="inlineStr">
        <is>
          <t>Critical</t>
        </is>
      </c>
    </row>
    <row r="24">
      <c r="A24" t="inlineStr">
        <is>
          <t>RT021</t>
        </is>
      </c>
      <c r="B24" t="inlineStr">
        <is>
          <t>Dashboard</t>
        </is>
      </c>
      <c r="C24" t="inlineStr">
        <is>
          <t>Forecast confidence formula</t>
        </is>
      </c>
      <c r="D24" t="inlineStr">
        <is>
          <t>PASS</t>
        </is>
      </c>
      <c r="E24">
        <f>IF(ISFORMULA(Forecasting!H4),"PASS","FAIL")</f>
        <v/>
      </c>
      <c r="F24">
        <f>IF(OR(E24="NOT FOUND",E24="ERROR"),"FAIL",IF(AND(ISNUMBER(D24),ISNUMBER(E24)),IF(ABS(D24-E24)&lt;0.01,"PASS","FAIL"),IF(D24=E24,"PASS","FAIL")))</f>
        <v/>
      </c>
      <c r="G24" t="inlineStr">
        <is>
          <t>Critical</t>
        </is>
      </c>
    </row>
    <row r="25">
      <c r="A25" t="inlineStr">
        <is>
          <t>RT022</t>
        </is>
      </c>
      <c r="B25" t="inlineStr">
        <is>
          <t>Dashboard</t>
        </is>
      </c>
      <c r="C25" t="inlineStr">
        <is>
          <t>Executive KPI excludes tests</t>
        </is>
      </c>
      <c r="D25" t="inlineStr">
        <is>
          <t>PASS</t>
        </is>
      </c>
      <c r="E25">
        <f>IF(ISNUMBER(SEARCH("Test Record",FORMULATEXT(Executive_Dashboard!B4))),"PASS","FAIL")</f>
        <v/>
      </c>
      <c r="F25">
        <f>IF(OR(E25="NOT FOUND",E25="ERROR"),"FAIL",IF(AND(ISNUMBER(D25),ISNUMBER(E25)),IF(ABS(D25-E25)&lt;0.01,"PASS","FAIL"),IF(D25=E25,"PASS","FAIL")))</f>
        <v/>
      </c>
      <c r="G25" t="inlineStr">
        <is>
          <t>Critical</t>
        </is>
      </c>
    </row>
    <row r="26">
      <c r="A26" t="inlineStr">
        <is>
          <t>RT023</t>
        </is>
      </c>
      <c r="B26" t="inlineStr">
        <is>
          <t>Dashboard</t>
        </is>
      </c>
      <c r="C26" t="inlineStr">
        <is>
          <t>Business KPI excludes tests</t>
        </is>
      </c>
      <c r="D26" t="inlineStr">
        <is>
          <t>PASS</t>
        </is>
      </c>
      <c r="E26">
        <f>IF(ISNUMBER(SEARCH("Test Record",FORMULATEXT(Business_Dashboard!B4))),"PASS","FAIL")</f>
        <v/>
      </c>
      <c r="F26">
        <f>IF(OR(E26="NOT FOUND",E26="ERROR"),"FAIL",IF(AND(ISNUMBER(D26),ISNUMBER(E26)),IF(ABS(D26-E26)&lt;0.01,"PASS","FAIL"),IF(D26=E26,"PASS","FAIL")))</f>
        <v/>
      </c>
      <c r="G26" t="inlineStr">
        <is>
          <t>Critical</t>
        </is>
      </c>
    </row>
    <row r="27">
      <c r="A27" t="inlineStr">
        <is>
          <t>RT024</t>
        </is>
      </c>
      <c r="B27" t="inlineStr">
        <is>
          <t>Dashboard</t>
        </is>
      </c>
      <c r="C27" t="inlineStr">
        <is>
          <t>Operations KPI excludes tests</t>
        </is>
      </c>
      <c r="D27" t="inlineStr">
        <is>
          <t>PASS</t>
        </is>
      </c>
      <c r="E27">
        <f>IF(ISNUMBER(SEARCH("Test Record",FORMULATEXT(Operations_Dashboard!B5))),"PASS","FAIL")</f>
        <v/>
      </c>
      <c r="F27">
        <f>IF(OR(E27="NOT FOUND",E27="ERROR"),"FAIL",IF(AND(ISNUMBER(D27),ISNUMBER(E27)),IF(ABS(D27-E27)&lt;0.01,"PASS","FAIL"),IF(D27=E27,"PASS","FAIL")))</f>
        <v/>
      </c>
      <c r="G27" t="inlineStr">
        <is>
          <t>Critical</t>
        </is>
      </c>
    </row>
    <row r="28">
      <c r="A28" t="inlineStr">
        <is>
          <t>RT025</t>
        </is>
      </c>
      <c r="B28" t="inlineStr">
        <is>
          <t>Dashboard</t>
        </is>
      </c>
      <c r="C28" t="inlineStr">
        <is>
          <t>Inventory dashboard has date</t>
        </is>
      </c>
      <c r="D28" t="inlineStr">
        <is>
          <t>PASS</t>
        </is>
      </c>
      <c r="E28">
        <f>IF(ISFORMULA(Business_Dashboard!H6),"PASS","FAIL")</f>
        <v/>
      </c>
      <c r="F28">
        <f>IF(OR(E28="NOT FOUND",E28="ERROR"),"FAIL",IF(AND(ISNUMBER(D28),ISNUMBER(E28)),IF(ABS(D28-E28)&lt;0.01,"PASS","FAIL"),IF(D28=E28,"PASS","FAIL")))</f>
        <v/>
      </c>
      <c r="G28" t="inlineStr">
        <is>
          <t>Critical</t>
        </is>
      </c>
    </row>
    <row r="29">
      <c r="A29" t="inlineStr">
        <is>
          <t>RT026</t>
        </is>
      </c>
      <c r="B29" t="inlineStr">
        <is>
          <t>Inventory</t>
        </is>
      </c>
      <c r="C29" t="inlineStr">
        <is>
          <t>Spoilage fixture available</t>
        </is>
      </c>
      <c r="D29" t="n">
        <v>20</v>
      </c>
      <c r="E29">
        <f>SUMIFS(tblInventory[Available],tblInventory[Test Key],"TEST-INV-SPOIL")</f>
        <v/>
      </c>
      <c r="F29">
        <f>IF(OR(E29="NOT FOUND",E29="ERROR"),"FAIL",IF(AND(ISNUMBER(D29),ISNUMBER(E29)),IF(ABS(D29-E29)&lt;0.01,"PASS","FAIL"),IF(D29=E29,"PASS","FAIL")))</f>
        <v/>
      </c>
      <c r="G29" t="inlineStr">
        <is>
          <t>Critical</t>
        </is>
      </c>
    </row>
    <row r="30">
      <c r="A30" t="inlineStr">
        <is>
          <t>RT027</t>
        </is>
      </c>
      <c r="B30" t="inlineStr">
        <is>
          <t>Inventory</t>
        </is>
      </c>
      <c r="C30" t="inlineStr">
        <is>
          <t>Spoilage fixture variance</t>
        </is>
      </c>
      <c r="D30" t="n">
        <v>3</v>
      </c>
      <c r="E30">
        <f>SUMIFS(tblInventory[Inventory Variance],tblInventory[Test Key],"TEST-INV-SPOIL")</f>
        <v/>
      </c>
      <c r="F30">
        <f>IF(OR(E30="NOT FOUND",E30="ERROR"),"FAIL",IF(AND(ISNUMBER(D30),ISNUMBER(E30)),IF(ABS(D30-E30)&lt;0.01,"PASS","FAIL"),IF(D30=E30,"PASS","FAIL")))</f>
        <v/>
      </c>
      <c r="G30" t="inlineStr">
        <is>
          <t>Critical</t>
        </is>
      </c>
    </row>
    <row r="31">
      <c r="A31" t="inlineStr">
        <is>
          <t>RT028</t>
        </is>
      </c>
      <c r="B31" t="inlineStr">
        <is>
          <t>Inventory</t>
        </is>
      </c>
      <c r="C31" t="inlineStr">
        <is>
          <t>Spoilage fixture spoilage</t>
        </is>
      </c>
      <c r="D31" t="n">
        <v>3</v>
      </c>
      <c r="E31">
        <f>SUMIFS(tblInventory[Spoilage],tblInventory[Test Key],"TEST-INV-SPOIL")</f>
        <v/>
      </c>
      <c r="F31">
        <f>IF(OR(E31="NOT FOUND",E31="ERROR"),"FAIL",IF(AND(ISNUMBER(D31),ISNUMBER(E31)),IF(ABS(D31-E31)&lt;0.01,"PASS","FAIL"),IF(D31=E31,"PASS","FAIL")))</f>
        <v/>
      </c>
      <c r="G31" t="inlineStr">
        <is>
          <t>Critical</t>
        </is>
      </c>
    </row>
    <row r="32">
      <c r="A32" t="inlineStr">
        <is>
          <t>RT029</t>
        </is>
      </c>
      <c r="B32" t="inlineStr">
        <is>
          <t>Inventory</t>
        </is>
      </c>
      <c r="C32" t="inlineStr">
        <is>
          <t>Spoilage fixture ending inventory</t>
        </is>
      </c>
      <c r="D32" t="n">
        <v>0</v>
      </c>
      <c r="E32">
        <f>SUMIFS(tblInventory[Ending Inventory],tblInventory[Test Key],"TEST-INV-SPOIL")</f>
        <v/>
      </c>
      <c r="F32">
        <f>IF(OR(E32="NOT FOUND",E32="ERROR"),"FAIL",IF(AND(ISNUMBER(D32),ISNUMBER(E32)),IF(ABS(D32-E32)&lt;0.01,"PASS","FAIL"),IF(D32=E32,"PASS","FAIL")))</f>
        <v/>
      </c>
      <c r="G32" t="inlineStr">
        <is>
          <t>Critical</t>
        </is>
      </c>
    </row>
    <row r="33">
      <c r="A33" t="inlineStr">
        <is>
          <t>RT030</t>
        </is>
      </c>
      <c r="B33" t="inlineStr">
        <is>
          <t>Inventory</t>
        </is>
      </c>
      <c r="C33" t="inlineStr">
        <is>
          <t>Carry fixture available</t>
        </is>
      </c>
      <c r="D33" t="n">
        <v>20</v>
      </c>
      <c r="E33">
        <f>SUMIFS(tblInventory[Available],tblInventory[Test Key],"TEST-INV-CARRY")</f>
        <v/>
      </c>
      <c r="F33">
        <f>IF(OR(E33="NOT FOUND",E33="ERROR"),"FAIL",IF(AND(ISNUMBER(D33),ISNUMBER(E33)),IF(ABS(D33-E33)&lt;0.01,"PASS","FAIL"),IF(D33=E33,"PASS","FAIL")))</f>
        <v/>
      </c>
      <c r="G33" t="inlineStr">
        <is>
          <t>Critical</t>
        </is>
      </c>
    </row>
    <row r="34">
      <c r="A34" t="inlineStr">
        <is>
          <t>RT031</t>
        </is>
      </c>
      <c r="B34" t="inlineStr">
        <is>
          <t>Inventory</t>
        </is>
      </c>
      <c r="C34" t="inlineStr">
        <is>
          <t>Carry fixture variance</t>
        </is>
      </c>
      <c r="D34" t="n">
        <v>3</v>
      </c>
      <c r="E34">
        <f>SUMIFS(tblInventory[Inventory Variance],tblInventory[Test Key],"TEST-INV-CARRY")</f>
        <v/>
      </c>
      <c r="F34">
        <f>IF(OR(E34="NOT FOUND",E34="ERROR"),"FAIL",IF(AND(ISNUMBER(D34),ISNUMBER(E34)),IF(ABS(D34-E34)&lt;0.01,"PASS","FAIL"),IF(D34=E34,"PASS","FAIL")))</f>
        <v/>
      </c>
      <c r="G34" t="inlineStr">
        <is>
          <t>Critical</t>
        </is>
      </c>
    </row>
    <row r="35">
      <c r="A35" t="inlineStr">
        <is>
          <t>RT032</t>
        </is>
      </c>
      <c r="B35" t="inlineStr">
        <is>
          <t>Inventory</t>
        </is>
      </c>
      <c r="C35" t="inlineStr">
        <is>
          <t>Carry fixture spoilage</t>
        </is>
      </c>
      <c r="D35" t="n">
        <v>0</v>
      </c>
      <c r="E35">
        <f>SUMIFS(tblInventory[Spoilage],tblInventory[Test Key],"TEST-INV-CARRY")</f>
        <v/>
      </c>
      <c r="F35">
        <f>IF(OR(E35="NOT FOUND",E35="ERROR"),"FAIL",IF(AND(ISNUMBER(D35),ISNUMBER(E35)),IF(ABS(D35-E35)&lt;0.01,"PASS","FAIL"),IF(D35=E35,"PASS","FAIL")))</f>
        <v/>
      </c>
      <c r="G35" t="inlineStr">
        <is>
          <t>Critical</t>
        </is>
      </c>
    </row>
    <row r="36">
      <c r="A36" t="inlineStr">
        <is>
          <t>RT033</t>
        </is>
      </c>
      <c r="B36" t="inlineStr">
        <is>
          <t>Inventory</t>
        </is>
      </c>
      <c r="C36" t="inlineStr">
        <is>
          <t>Carry fixture ending inventory</t>
        </is>
      </c>
      <c r="D36" t="n">
        <v>3</v>
      </c>
      <c r="E36">
        <f>SUMIFS(tblInventory[Ending Inventory],tblInventory[Test Key],"TEST-INV-CARRY")</f>
        <v/>
      </c>
      <c r="F36">
        <f>IF(OR(E36="NOT FOUND",E36="ERROR"),"FAIL",IF(AND(ISNUMBER(D36),ISNUMBER(E36)),IF(ABS(D36-E36)&lt;0.01,"PASS","FAIL"),IF(D36=E36,"PASS","FAIL")))</f>
        <v/>
      </c>
      <c r="G36" t="inlineStr">
        <is>
          <t>Critical</t>
        </is>
      </c>
    </row>
    <row r="37">
      <c r="A37" t="inlineStr">
        <is>
          <t>RT034</t>
        </is>
      </c>
      <c r="B37" t="inlineStr">
        <is>
          <t>Inventory</t>
        </is>
      </c>
      <c r="C37" t="inlineStr">
        <is>
          <t>Spoilage validation OK</t>
        </is>
      </c>
      <c r="D37" t="inlineStr">
        <is>
          <t>OK</t>
        </is>
      </c>
      <c r="E37">
        <f>INDEX(tblInventory[Validation],MATCH("TEST-INV-SPOIL",tblInventory[Test Key],0))</f>
        <v/>
      </c>
      <c r="F37">
        <f>IF(OR(E37="NOT FOUND",E37="ERROR"),"FAIL",IF(AND(ISNUMBER(D37),ISNUMBER(E37)),IF(ABS(D37-E37)&lt;0.01,"PASS","FAIL"),IF(D37=E37,"PASS","FAIL")))</f>
        <v/>
      </c>
      <c r="G37" t="inlineStr">
        <is>
          <t>Critical</t>
        </is>
      </c>
    </row>
    <row r="38">
      <c r="A38" t="inlineStr">
        <is>
          <t>RT035</t>
        </is>
      </c>
      <c r="B38" t="inlineStr">
        <is>
          <t>Inventory</t>
        </is>
      </c>
      <c r="C38" t="inlineStr">
        <is>
          <t>Carry validation OK</t>
        </is>
      </c>
      <c r="D38" t="inlineStr">
        <is>
          <t>OK</t>
        </is>
      </c>
      <c r="E38">
        <f>INDEX(tblInventory[Validation],MATCH("TEST-INV-CARRY",tblInventory[Test Key],0))</f>
        <v/>
      </c>
      <c r="F38">
        <f>IF(OR(E38="NOT FOUND",E38="ERROR"),"FAIL",IF(AND(ISNUMBER(D38),ISNUMBER(E38)),IF(ABS(D38-E38)&lt;0.01,"PASS","FAIL"),IF(D38=E38,"PASS","FAIL")))</f>
        <v/>
      </c>
      <c r="G38" t="inlineStr">
        <is>
          <t>Critical</t>
        </is>
      </c>
    </row>
    <row r="39">
      <c r="A39" t="inlineStr">
        <is>
          <t>RT036</t>
        </is>
      </c>
      <c r="B39" t="inlineStr">
        <is>
          <t>Inventory</t>
        </is>
      </c>
      <c r="C39" t="inlineStr">
        <is>
          <t>Available formula exists</t>
        </is>
      </c>
      <c r="D39" t="inlineStr">
        <is>
          <t>PASS</t>
        </is>
      </c>
      <c r="E39">
        <f>IF(ISFORMULA(Inventory!H4),"PASS","FAIL")</f>
        <v/>
      </c>
      <c r="F39">
        <f>IF(OR(E39="NOT FOUND",E39="ERROR"),"FAIL",IF(AND(ISNUMBER(D39),ISNUMBER(E39)),IF(ABS(D39-E39)&lt;0.01,"PASS","FAIL"),IF(D39=E39,"PASS","FAIL")))</f>
        <v/>
      </c>
      <c r="G39" t="inlineStr">
        <is>
          <t>Critical</t>
        </is>
      </c>
    </row>
    <row r="40">
      <c r="A40" t="inlineStr">
        <is>
          <t>RT037</t>
        </is>
      </c>
      <c r="B40" t="inlineStr">
        <is>
          <t>Inventory</t>
        </is>
      </c>
      <c r="C40" t="inlineStr">
        <is>
          <t>Variance formula exists</t>
        </is>
      </c>
      <c r="D40" t="inlineStr">
        <is>
          <t>PASS</t>
        </is>
      </c>
      <c r="E40">
        <f>IF(ISFORMULA(Inventory!I4),"PASS","FAIL")</f>
        <v/>
      </c>
      <c r="F40">
        <f>IF(OR(E40="NOT FOUND",E40="ERROR"),"FAIL",IF(AND(ISNUMBER(D40),ISNUMBER(E40)),IF(ABS(D40-E40)&lt;0.01,"PASS","FAIL"),IF(D40=E40,"PASS","FAIL")))</f>
        <v/>
      </c>
      <c r="G40" t="inlineStr">
        <is>
          <t>Critical</t>
        </is>
      </c>
    </row>
    <row r="41">
      <c r="A41" t="inlineStr">
        <is>
          <t>RT038</t>
        </is>
      </c>
      <c r="B41" t="inlineStr">
        <is>
          <t>Inventory</t>
        </is>
      </c>
      <c r="C41" t="inlineStr">
        <is>
          <t>Spoilage formula exists</t>
        </is>
      </c>
      <c r="D41" t="inlineStr">
        <is>
          <t>PASS</t>
        </is>
      </c>
      <c r="E41">
        <f>IF(ISFORMULA(Inventory!J4),"PASS","FAIL")</f>
        <v/>
      </c>
      <c r="F41">
        <f>IF(OR(E41="NOT FOUND",E41="ERROR"),"FAIL",IF(AND(ISNUMBER(D41),ISNUMBER(E41)),IF(ABS(D41-E41)&lt;0.01,"PASS","FAIL"),IF(D41=E41,"PASS","FAIL")))</f>
        <v/>
      </c>
      <c r="G41" t="inlineStr">
        <is>
          <t>Critical</t>
        </is>
      </c>
    </row>
    <row r="42">
      <c r="A42" t="inlineStr">
        <is>
          <t>RT039</t>
        </is>
      </c>
      <c r="B42" t="inlineStr">
        <is>
          <t>Inventory</t>
        </is>
      </c>
      <c r="C42" t="inlineStr">
        <is>
          <t>Ending formula exists</t>
        </is>
      </c>
      <c r="D42" t="inlineStr">
        <is>
          <t>PASS</t>
        </is>
      </c>
      <c r="E42">
        <f>IF(ISFORMULA(Inventory!K4),"PASS","FAIL")</f>
        <v/>
      </c>
      <c r="F42">
        <f>IF(OR(E42="NOT FOUND",E42="ERROR"),"FAIL",IF(AND(ISNUMBER(D42),ISNUMBER(E42)),IF(ABS(D42-E42)&lt;0.01,"PASS","FAIL"),IF(D42=E42,"PASS","FAIL")))</f>
        <v/>
      </c>
      <c r="G42" t="inlineStr">
        <is>
          <t>Critical</t>
        </is>
      </c>
    </row>
    <row r="43">
      <c r="A43" t="inlineStr">
        <is>
          <t>RT040</t>
        </is>
      </c>
      <c r="B43" t="inlineStr">
        <is>
          <t>Inventory</t>
        </is>
      </c>
      <c r="C43" t="inlineStr">
        <is>
          <t>Inventory validation formula exists</t>
        </is>
      </c>
      <c r="D43" t="inlineStr">
        <is>
          <t>PASS</t>
        </is>
      </c>
      <c r="E43">
        <f>IF(ISFORMULA(Inventory!L4),"PASS","FAIL")</f>
        <v/>
      </c>
      <c r="F43">
        <f>IF(OR(E43="NOT FOUND",E43="ERROR"),"FAIL",IF(AND(ISNUMBER(D43),ISNUMBER(E43)),IF(ABS(D43-E43)&lt;0.01,"PASS","FAIL"),IF(D43=E43,"PASS","FAIL")))</f>
        <v/>
      </c>
      <c r="G43" t="inlineStr">
        <is>
          <t>Critical</t>
        </is>
      </c>
    </row>
    <row r="44">
      <c r="A44" t="inlineStr">
        <is>
          <t>RT041</t>
        </is>
      </c>
      <c r="B44" t="inlineStr">
        <is>
          <t>Inventory</t>
        </is>
      </c>
      <c r="C44" t="inlineStr">
        <is>
          <t>Inventory test records excluded from dashboard</t>
        </is>
      </c>
      <c r="D44" t="n">
        <v>0</v>
      </c>
      <c r="E44">
        <f>COUNTIFS(tblInventory[Test Record],"Yes",tblInventory[Test Record],"No")</f>
        <v/>
      </c>
      <c r="F44">
        <f>IF(OR(E44="NOT FOUND",E44="ERROR"),"FAIL",IF(AND(ISNUMBER(D44),ISNUMBER(E44)),IF(ABS(D44-E44)&lt;0.01,"PASS","FAIL"),IF(D44=E44,"PASS","FAIL")))</f>
        <v/>
      </c>
      <c r="G44" t="inlineStr">
        <is>
          <t>Critical</t>
        </is>
      </c>
    </row>
    <row r="45">
      <c r="A45" t="inlineStr">
        <is>
          <t>RT042</t>
        </is>
      </c>
      <c r="B45" t="inlineStr">
        <is>
          <t>Inventory</t>
        </is>
      </c>
      <c r="C45" t="inlineStr">
        <is>
          <t>Inventory valuation formula exists</t>
        </is>
      </c>
      <c r="D45" t="inlineStr">
        <is>
          <t>PASS</t>
        </is>
      </c>
      <c r="E45">
        <f>IF(ISFORMULA(Inventory_Valuation!F4),"PASS","FAIL")</f>
        <v/>
      </c>
      <c r="F45">
        <f>IF(OR(E45="NOT FOUND",E45="ERROR"),"FAIL",IF(AND(ISNUMBER(D45),ISNUMBER(E45)),IF(ABS(D45-E45)&lt;0.01,"PASS","FAIL"),IF(D45=E45,"PASS","FAIL")))</f>
        <v/>
      </c>
      <c r="G45" t="inlineStr">
        <is>
          <t>Critical</t>
        </is>
      </c>
    </row>
    <row r="46">
      <c r="A46" t="inlineStr">
        <is>
          <t>RT043</t>
        </is>
      </c>
      <c r="B46" t="inlineStr">
        <is>
          <t>Inventory</t>
        </is>
      </c>
      <c r="C46" t="inlineStr">
        <is>
          <t>Inventory valuation fixture</t>
        </is>
      </c>
      <c r="D46" t="n">
        <v>11.4</v>
      </c>
      <c r="E46">
        <f>SUMIFS(tblInventoryValuation[Inventory Value],tblInventoryValuation[Variation ID],"TEST-VAR002")</f>
        <v/>
      </c>
      <c r="F46">
        <f>IF(OR(E46="NOT FOUND",E46="ERROR"),"FAIL",IF(AND(ISNUMBER(D46),ISNUMBER(E46)),IF(ABS(D46-E46)&lt;0.01,"PASS","FAIL"),IF(D46=E46,"PASS","FAIL")))</f>
        <v/>
      </c>
      <c r="G46" t="inlineStr">
        <is>
          <t>Critical</t>
        </is>
      </c>
    </row>
    <row r="47">
      <c r="A47" t="inlineStr">
        <is>
          <t>RT044</t>
        </is>
      </c>
      <c r="B47" t="inlineStr">
        <is>
          <t>Inventory</t>
        </is>
      </c>
      <c r="C47" t="inlineStr">
        <is>
          <t>Reorder point formula exists</t>
        </is>
      </c>
      <c r="D47" t="inlineStr">
        <is>
          <t>PASS</t>
        </is>
      </c>
      <c r="E47">
        <f>IF(ISFORMULA(Reorder_Engine!F4),"PASS","FAIL")</f>
        <v/>
      </c>
      <c r="F47">
        <f>IF(OR(E47="NOT FOUND",E47="ERROR"),"FAIL",IF(AND(ISNUMBER(D47),ISNUMBER(E47)),IF(ABS(D47-E47)&lt;0.01,"PASS","FAIL"),IF(D47=E47,"PASS","FAIL")))</f>
        <v/>
      </c>
      <c r="G47" t="inlineStr">
        <is>
          <t>Critical</t>
        </is>
      </c>
    </row>
    <row r="48">
      <c r="A48" t="inlineStr">
        <is>
          <t>RT045</t>
        </is>
      </c>
      <c r="B48" t="inlineStr">
        <is>
          <t>Inventory</t>
        </is>
      </c>
      <c r="C48" t="inlineStr">
        <is>
          <t>Reorder status formula exists</t>
        </is>
      </c>
      <c r="D48" t="inlineStr">
        <is>
          <t>PASS</t>
        </is>
      </c>
      <c r="E48">
        <f>IF(ISFORMULA(Reorder_Engine!G4),"PASS","FAIL")</f>
        <v/>
      </c>
      <c r="F48">
        <f>IF(OR(E48="NOT FOUND",E48="ERROR"),"FAIL",IF(AND(ISNUMBER(D48),ISNUMBER(E48)),IF(ABS(D48-E48)&lt;0.01,"PASS","FAIL"),IF(D48=E48,"PASS","FAIL")))</f>
        <v/>
      </c>
      <c r="G48" t="inlineStr">
        <is>
          <t>Critical</t>
        </is>
      </c>
    </row>
    <row r="49">
      <c r="A49" t="inlineStr">
        <is>
          <t>RT046</t>
        </is>
      </c>
      <c r="B49" t="inlineStr">
        <is>
          <t>Inventory</t>
        </is>
      </c>
      <c r="C49" t="inlineStr">
        <is>
          <t>Suggested purchase formula exists</t>
        </is>
      </c>
      <c r="D49" t="inlineStr">
        <is>
          <t>PASS</t>
        </is>
      </c>
      <c r="E49">
        <f>IF(ISFORMULA(Reorder_Engine!H4),"PASS","FAIL")</f>
        <v/>
      </c>
      <c r="F49">
        <f>IF(OR(E49="NOT FOUND",E49="ERROR"),"FAIL",IF(AND(ISNUMBER(D49),ISNUMBER(E49)),IF(ABS(D49-E49)&lt;0.01,"PASS","FAIL"),IF(D49=E49,"PASS","FAIL")))</f>
        <v/>
      </c>
      <c r="G49" t="inlineStr">
        <is>
          <t>Critical</t>
        </is>
      </c>
    </row>
    <row r="50">
      <c r="A50" t="inlineStr">
        <is>
          <t>RT047</t>
        </is>
      </c>
      <c r="B50" t="inlineStr">
        <is>
          <t>Inventory</t>
        </is>
      </c>
      <c r="C50" t="inlineStr">
        <is>
          <t>Suggested cost formula exists</t>
        </is>
      </c>
      <c r="D50" t="inlineStr">
        <is>
          <t>PASS</t>
        </is>
      </c>
      <c r="E50">
        <f>IF(ISFORMULA(Reorder_Engine!J4),"PASS","FAIL")</f>
        <v/>
      </c>
      <c r="F50">
        <f>IF(OR(E50="NOT FOUND",E50="ERROR"),"FAIL",IF(AND(ISNUMBER(D50),ISNUMBER(E50)),IF(ABS(D50-E50)&lt;0.01,"PASS","FAIL"),IF(D50=E50,"PASS","FAIL")))</f>
        <v/>
      </c>
      <c r="G50" t="inlineStr">
        <is>
          <t>Critical</t>
        </is>
      </c>
    </row>
    <row r="51">
      <c r="A51" t="inlineStr">
        <is>
          <t>RT048</t>
        </is>
      </c>
      <c r="B51" t="inlineStr">
        <is>
          <t>Inventory</t>
        </is>
      </c>
      <c r="C51" t="inlineStr">
        <is>
          <t>Reorder point fixture</t>
        </is>
      </c>
      <c r="D51" t="n">
        <v>16</v>
      </c>
      <c r="E51">
        <f>SUMIFS(tblReorderEngine[Reorder Point],tblReorderEngine[Ingredient],"Sugar")</f>
        <v/>
      </c>
      <c r="F51">
        <f>IF(OR(E51="NOT FOUND",E51="ERROR"),"FAIL",IF(AND(ISNUMBER(D51),ISNUMBER(E51)),IF(ABS(D51-E51)&lt;0.01,"PASS","FAIL"),IF(D51=E51,"PASS","FAIL")))</f>
        <v/>
      </c>
      <c r="G51" t="inlineStr">
        <is>
          <t>Critical</t>
        </is>
      </c>
    </row>
    <row r="52">
      <c r="A52" t="inlineStr">
        <is>
          <t>RT049</t>
        </is>
      </c>
      <c r="B52" t="inlineStr">
        <is>
          <t>Inventory</t>
        </is>
      </c>
      <c r="C52" t="inlineStr">
        <is>
          <t>Suggested purchase fixture</t>
        </is>
      </c>
      <c r="D52" t="n">
        <v>6</v>
      </c>
      <c r="E52">
        <f>SUMIFS(tblReorderEngine[Suggested Purchase Qty],tblReorderEngine[Ingredient],"Sugar")</f>
        <v/>
      </c>
      <c r="F52">
        <f>IF(OR(E52="NOT FOUND",E52="ERROR"),"FAIL",IF(AND(ISNUMBER(D52),ISNUMBER(E52)),IF(ABS(D52-E52)&lt;0.01,"PASS","FAIL"),IF(D52=E52,"PASS","FAIL")))</f>
        <v/>
      </c>
      <c r="G52" t="inlineStr">
        <is>
          <t>Critical</t>
        </is>
      </c>
    </row>
    <row r="53">
      <c r="A53" t="inlineStr">
        <is>
          <t>RT050</t>
        </is>
      </c>
      <c r="B53" t="inlineStr">
        <is>
          <t>Inventory</t>
        </is>
      </c>
      <c r="C53" t="inlineStr">
        <is>
          <t>Suggested purchase cost fixture</t>
        </is>
      </c>
      <c r="D53" t="n">
        <v>4.92</v>
      </c>
      <c r="E53">
        <f>SUMIFS(tblReorderEngine[Estimated Purchase Cost],tblReorderEngine[Ingredient],"Sugar")</f>
        <v/>
      </c>
      <c r="F53">
        <f>IF(OR(E53="NOT FOUND",E53="ERROR"),"FAIL",IF(AND(ISNUMBER(D53),ISNUMBER(E53)),IF(ABS(D53-E53)&lt;0.01,"PASS","FAIL"),IF(D53=E53,"PASS","FAIL")))</f>
        <v/>
      </c>
      <c r="G53" t="inlineStr">
        <is>
          <t>Critical</t>
        </is>
      </c>
    </row>
    <row r="54">
      <c r="A54" t="inlineStr">
        <is>
          <t>RT051</t>
        </is>
      </c>
      <c r="B54" t="inlineStr">
        <is>
          <t>Product</t>
        </is>
      </c>
      <c r="C54" t="inlineStr">
        <is>
          <t>Ready product status</t>
        </is>
      </c>
      <c r="D54" t="inlineStr">
        <is>
          <t>READY</t>
        </is>
      </c>
      <c r="E54">
        <f>INDEX(tblProductMaster[Product Status],MATCH("TEST-VAR001",tblProductMaster[Variation ID],0))</f>
        <v/>
      </c>
      <c r="F54">
        <f>IF(OR(E54="NOT FOUND",E54="ERROR"),"FAIL",IF(AND(ISNUMBER(D54),ISNUMBER(E54)),IF(ABS(D54-E54)&lt;0.01,"PASS","FAIL"),IF(D54=E54,"PASS","FAIL")))</f>
        <v/>
      </c>
      <c r="G54" t="inlineStr">
        <is>
          <t>Critical</t>
        </is>
      </c>
    </row>
    <row r="55">
      <c r="A55" t="inlineStr">
        <is>
          <t>RT052</t>
        </is>
      </c>
      <c r="B55" t="inlineStr">
        <is>
          <t>Product</t>
        </is>
      </c>
      <c r="C55" t="inlineStr">
        <is>
          <t>Missing cost status</t>
        </is>
      </c>
      <c r="D55" t="inlineStr">
        <is>
          <t>SETUP REQUIRED</t>
        </is>
      </c>
      <c r="E55">
        <f>INDEX(tblProductMaster[Product Status],MATCH("TEST-VAR002",tblProductMaster[Variation ID],0))</f>
        <v/>
      </c>
      <c r="F55">
        <f>IF(OR(E55="NOT FOUND",E55="ERROR"),"FAIL",IF(AND(ISNUMBER(D55),ISNUMBER(E55)),IF(ABS(D55-E55)&lt;0.01,"PASS","FAIL"),IF(D55=E55,"PASS","FAIL")))</f>
        <v/>
      </c>
      <c r="G55" t="inlineStr">
        <is>
          <t>Critical</t>
        </is>
      </c>
    </row>
    <row r="56">
      <c r="A56" t="inlineStr">
        <is>
          <t>RT053</t>
        </is>
      </c>
      <c r="B56" t="inlineStr">
        <is>
          <t>Product</t>
        </is>
      </c>
      <c r="C56" t="inlineStr">
        <is>
          <t>Missing recipe status</t>
        </is>
      </c>
      <c r="D56" t="inlineStr">
        <is>
          <t>SETUP REQUIRED</t>
        </is>
      </c>
      <c r="E56">
        <f>INDEX(tblProductMaster[Product Status],MATCH("TEST-VAR003",tblProductMaster[Variation ID],0))</f>
        <v/>
      </c>
      <c r="F56">
        <f>IF(OR(E56="NOT FOUND",E56="ERROR"),"FAIL",IF(AND(ISNUMBER(D56),ISNUMBER(E56)),IF(ABS(D56-E56)&lt;0.01,"PASS","FAIL"),IF(D56=E56,"PASS","FAIL")))</f>
        <v/>
      </c>
      <c r="G56" t="inlineStr">
        <is>
          <t>Critical</t>
        </is>
      </c>
    </row>
    <row r="57">
      <c r="A57" t="inlineStr">
        <is>
          <t>RT054</t>
        </is>
      </c>
      <c r="B57" t="inlineStr">
        <is>
          <t>Product</t>
        </is>
      </c>
      <c r="C57" t="inlineStr">
        <is>
          <t>Configure product status</t>
        </is>
      </c>
      <c r="D57" t="inlineStr">
        <is>
          <t>CONFIGURE PRODUCT</t>
        </is>
      </c>
      <c r="E57">
        <f>INDEX(tblProductMaster[Product Status],MATCH("TEST-VAR004",tblProductMaster[Variation ID],0))</f>
        <v/>
      </c>
      <c r="F57">
        <f>IF(OR(E57="NOT FOUND",E57="ERROR"),"FAIL",IF(AND(ISNUMBER(D57),ISNUMBER(E57)),IF(ABS(D57-E57)&lt;0.01,"PASS","FAIL"),IF(D57=E57,"PASS","FAIL")))</f>
        <v/>
      </c>
      <c r="G57" t="inlineStr">
        <is>
          <t>Critical</t>
        </is>
      </c>
    </row>
    <row r="58">
      <c r="A58" t="inlineStr">
        <is>
          <t>RT055</t>
        </is>
      </c>
      <c r="B58" t="inlineStr">
        <is>
          <t>Product</t>
        </is>
      </c>
      <c r="C58" t="inlineStr">
        <is>
          <t>Ready cost complete</t>
        </is>
      </c>
      <c r="D58" t="inlineStr">
        <is>
          <t>Yes</t>
        </is>
      </c>
      <c r="E58">
        <f>INDEX(tblProductMaster[Cost Complete],MATCH("TEST-VAR001",tblProductMaster[Variation ID],0))</f>
        <v/>
      </c>
      <c r="F58">
        <f>IF(OR(E58="NOT FOUND",E58="ERROR"),"FAIL",IF(AND(ISNUMBER(D58),ISNUMBER(E58)),IF(ABS(D58-E58)&lt;0.01,"PASS","FAIL"),IF(D58=E58,"PASS","FAIL")))</f>
        <v/>
      </c>
      <c r="G58" t="inlineStr">
        <is>
          <t>Critical</t>
        </is>
      </c>
    </row>
    <row r="59">
      <c r="A59" t="inlineStr">
        <is>
          <t>RT056</t>
        </is>
      </c>
      <c r="B59" t="inlineStr">
        <is>
          <t>Product</t>
        </is>
      </c>
      <c r="C59" t="inlineStr">
        <is>
          <t>Missing cost detected</t>
        </is>
      </c>
      <c r="D59" t="inlineStr">
        <is>
          <t>No</t>
        </is>
      </c>
      <c r="E59">
        <f>INDEX(tblProductMaster[Cost Complete],MATCH("TEST-VAR002",tblProductMaster[Variation ID],0))</f>
        <v/>
      </c>
      <c r="F59">
        <f>IF(OR(E59="NOT FOUND",E59="ERROR"),"FAIL",IF(AND(ISNUMBER(D59),ISNUMBER(E59)),IF(ABS(D59-E59)&lt;0.01,"PASS","FAIL"),IF(D59=E59,"PASS","FAIL")))</f>
        <v/>
      </c>
      <c r="G59" t="inlineStr">
        <is>
          <t>Critical</t>
        </is>
      </c>
    </row>
    <row r="60">
      <c r="A60" t="inlineStr">
        <is>
          <t>RT057</t>
        </is>
      </c>
      <c r="B60" t="inlineStr">
        <is>
          <t>Product</t>
        </is>
      </c>
      <c r="C60" t="inlineStr">
        <is>
          <t>Missing recipe detected</t>
        </is>
      </c>
      <c r="D60" t="inlineStr">
        <is>
          <t>No</t>
        </is>
      </c>
      <c r="E60">
        <f>INDEX(tblProductMaster[Recipe Complete],MATCH("TEST-VAR003",tblProductMaster[Variation ID],0))</f>
        <v/>
      </c>
      <c r="F60">
        <f>IF(OR(E60="NOT FOUND",E60="ERROR"),"FAIL",IF(AND(ISNUMBER(D60),ISNUMBER(E60)),IF(ABS(D60-E60)&lt;0.01,"PASS","FAIL"),IF(D60=E60,"PASS","FAIL")))</f>
        <v/>
      </c>
      <c r="G60" t="inlineStr">
        <is>
          <t>Critical</t>
        </is>
      </c>
    </row>
    <row r="61">
      <c r="A61" t="inlineStr">
        <is>
          <t>RT058</t>
        </is>
      </c>
      <c r="B61" t="inlineStr">
        <is>
          <t>Product</t>
        </is>
      </c>
      <c r="C61" t="inlineStr">
        <is>
          <t>Shared recipe map exists</t>
        </is>
      </c>
      <c r="D61" t="n">
        <v>2</v>
      </c>
      <c r="E61">
        <f>COUNTIFS(tblProductRecipeMapping[Recipe ID],"TEST-R001")</f>
        <v/>
      </c>
      <c r="F61">
        <f>IF(OR(E61="NOT FOUND",E61="ERROR"),"FAIL",IF(AND(ISNUMBER(D61),ISNUMBER(E61)),IF(ABS(D61-E61)&lt;0.01,"PASS","FAIL"),IF(D61=E61,"PASS","FAIL")))</f>
        <v/>
      </c>
      <c r="G61" t="inlineStr">
        <is>
          <t>Critical</t>
        </is>
      </c>
    </row>
    <row r="62">
      <c r="A62" t="inlineStr">
        <is>
          <t>RT059</t>
        </is>
      </c>
      <c r="B62" t="inlineStr">
        <is>
          <t>Product</t>
        </is>
      </c>
      <c r="C62" t="inlineStr">
        <is>
          <t>Product cost record exists</t>
        </is>
      </c>
      <c r="D62" t="n">
        <v>1</v>
      </c>
      <c r="E62">
        <f>COUNTIFS(tblProductCosts[Variation ID],"TEST-VAR001")</f>
        <v/>
      </c>
      <c r="F62">
        <f>IF(OR(E62="NOT FOUND",E62="ERROR"),"FAIL",IF(AND(ISNUMBER(D62),ISNUMBER(E62)),IF(ABS(D62-E62)&lt;0.01,"PASS","FAIL"),IF(D62=E62,"PASS","FAIL")))</f>
        <v/>
      </c>
      <c r="G62" t="inlineStr">
        <is>
          <t>Critical</t>
        </is>
      </c>
    </row>
    <row r="63">
      <c r="A63" t="inlineStr">
        <is>
          <t>RT060</t>
        </is>
      </c>
      <c r="B63" t="inlineStr">
        <is>
          <t>Product</t>
        </is>
      </c>
      <c r="C63" t="inlineStr">
        <is>
          <t>Old cost review detected</t>
        </is>
      </c>
      <c r="D63" t="inlineStr">
        <is>
          <t>REVIEW COST</t>
        </is>
      </c>
      <c r="E63">
        <f>INDEX(tblProductCosts[Cost Review Status],MATCH("TEST-VAR003",tblProductCosts[Variation ID],0))</f>
        <v/>
      </c>
      <c r="F63">
        <f>IF(OR(E63="NOT FOUND",E63="ERROR"),"FAIL",IF(AND(ISNUMBER(D63),ISNUMBER(E63)),IF(ABS(D63-E63)&lt;0.01,"PASS","FAIL"),IF(D63=E63,"PASS","FAIL")))</f>
        <v/>
      </c>
      <c r="G63" t="inlineStr">
        <is>
          <t>Critical</t>
        </is>
      </c>
    </row>
    <row r="64">
      <c r="A64" t="inlineStr">
        <is>
          <t>RT061</t>
        </is>
      </c>
      <c r="B64" t="inlineStr">
        <is>
          <t>Product</t>
        </is>
      </c>
      <c r="C64" t="inlineStr">
        <is>
          <t>Ingredient usage quantity</t>
        </is>
      </c>
      <c r="D64" t="n">
        <v>8</v>
      </c>
      <c r="E64">
        <f>SUMIFS(tblIngredientUsage[Quantity Used],tblIngredientUsage[Test Key],"TEST-USAGE-1")</f>
        <v/>
      </c>
      <c r="F64">
        <f>IF(OR(E64="NOT FOUND",E64="ERROR"),"FAIL",IF(AND(ISNUMBER(D64),ISNUMBER(E64)),IF(ABS(D64-E64)&lt;0.01,"PASS","FAIL"),IF(D64=E64,"PASS","FAIL")))</f>
        <v/>
      </c>
      <c r="G64" t="inlineStr">
        <is>
          <t>Critical</t>
        </is>
      </c>
    </row>
    <row r="65">
      <c r="A65" t="inlineStr">
        <is>
          <t>RT062</t>
        </is>
      </c>
      <c r="B65" t="inlineStr">
        <is>
          <t>Product</t>
        </is>
      </c>
      <c r="C65" t="inlineStr">
        <is>
          <t>Ingredient unit cost</t>
        </is>
      </c>
      <c r="D65" t="n">
        <v>2</v>
      </c>
      <c r="E65">
        <f>SUMIFS(tblIngredientUsage[Unit Cost],tblIngredientUsage[Test Key],"TEST-USAGE-1")</f>
        <v/>
      </c>
      <c r="F65">
        <f>IF(OR(E65="NOT FOUND",E65="ERROR"),"FAIL",IF(AND(ISNUMBER(D65),ISNUMBER(E65)),IF(ABS(D65-E65)&lt;0.01,"PASS","FAIL"),IF(D65=E65,"PASS","FAIL")))</f>
        <v/>
      </c>
      <c r="G65" t="inlineStr">
        <is>
          <t>Critical</t>
        </is>
      </c>
    </row>
    <row r="66">
      <c r="A66" t="inlineStr">
        <is>
          <t>RT063</t>
        </is>
      </c>
      <c r="B66" t="inlineStr">
        <is>
          <t>Product</t>
        </is>
      </c>
      <c r="C66" t="inlineStr">
        <is>
          <t>Ingredient usage cost</t>
        </is>
      </c>
      <c r="D66" t="n">
        <v>16</v>
      </c>
      <c r="E66">
        <f>SUMIFS(tblIngredientUsage[Usage Cost],tblIngredientUsage[Test Key],"TEST-USAGE-1")</f>
        <v/>
      </c>
      <c r="F66">
        <f>IF(OR(E66="NOT FOUND",E66="ERROR"),"FAIL",IF(AND(ISNUMBER(D66),ISNUMBER(E66)),IF(ABS(D66-E66)&lt;0.01,"PASS","FAIL"),IF(D66=E66,"PASS","FAIL")))</f>
        <v/>
      </c>
      <c r="G66" t="inlineStr">
        <is>
          <t>Critical</t>
        </is>
      </c>
    </row>
    <row r="67">
      <c r="A67" t="inlineStr">
        <is>
          <t>RT064</t>
        </is>
      </c>
      <c r="B67" t="inlineStr">
        <is>
          <t>Product</t>
        </is>
      </c>
      <c r="C67" t="inlineStr">
        <is>
          <t>Sales COGS fixture</t>
        </is>
      </c>
      <c r="D67" t="n">
        <v>32.25</v>
      </c>
      <c r="E67">
        <f>SUMIFS(tblSalesData[COGS],tblSalesData[Variation ID],"TEST-VAR001")</f>
        <v/>
      </c>
      <c r="F67">
        <f>IF(OR(E67="NOT FOUND",E67="ERROR"),"FAIL",IF(AND(ISNUMBER(D67),ISNUMBER(E67)),IF(ABS(D67-E67)&lt;0.01,"PASS","FAIL"),IF(D67=E67,"PASS","FAIL")))</f>
        <v/>
      </c>
      <c r="G67" t="inlineStr">
        <is>
          <t>Critical</t>
        </is>
      </c>
    </row>
    <row r="68">
      <c r="A68" t="inlineStr">
        <is>
          <t>RT065</t>
        </is>
      </c>
      <c r="B68" t="inlineStr">
        <is>
          <t>Product</t>
        </is>
      </c>
      <c r="C68" t="inlineStr">
        <is>
          <t>Scorecard profit formula</t>
        </is>
      </c>
      <c r="D68" t="inlineStr">
        <is>
          <t>PASS</t>
        </is>
      </c>
      <c r="E68">
        <f>IF(ISFORMULA(Product_Scorecards!E4),"PASS","FAIL")</f>
        <v/>
      </c>
      <c r="F68">
        <f>IF(OR(E68="NOT FOUND",E68="ERROR"),"FAIL",IF(AND(ISNUMBER(D68),ISNUMBER(E68)),IF(ABS(D68-E68)&lt;0.01,"PASS","FAIL"),IF(D68=E68,"PASS","FAIL")))</f>
        <v/>
      </c>
      <c r="G68" t="inlineStr">
        <is>
          <t>Critical</t>
        </is>
      </c>
    </row>
    <row r="69">
      <c r="A69" t="inlineStr">
        <is>
          <t>RT066</t>
        </is>
      </c>
      <c r="B69" t="inlineStr">
        <is>
          <t>Product</t>
        </is>
      </c>
      <c r="C69" t="inlineStr">
        <is>
          <t>Scorecard margin formula</t>
        </is>
      </c>
      <c r="D69" t="inlineStr">
        <is>
          <t>PASS</t>
        </is>
      </c>
      <c r="E69">
        <f>IF(ISFORMULA(Product_Scorecards!F4),"PASS","FAIL")</f>
        <v/>
      </c>
      <c r="F69">
        <f>IF(OR(E69="NOT FOUND",E69="ERROR"),"FAIL",IF(AND(ISNUMBER(D69),ISNUMBER(E69)),IF(ABS(D69-E69)&lt;0.01,"PASS","FAIL"),IF(D69=E69,"PASS","FAIL")))</f>
        <v/>
      </c>
      <c r="G69" t="inlineStr">
        <is>
          <t>Critical</t>
        </is>
      </c>
    </row>
    <row r="70">
      <c r="A70" t="inlineStr">
        <is>
          <t>RT067</t>
        </is>
      </c>
      <c r="B70" t="inlineStr">
        <is>
          <t>Product</t>
        </is>
      </c>
      <c r="C70" t="inlineStr">
        <is>
          <t>Scorecard waste formula</t>
        </is>
      </c>
      <c r="D70" t="inlineStr">
        <is>
          <t>PASS</t>
        </is>
      </c>
      <c r="E70">
        <f>IF(ISFORMULA(Product_Scorecards!I4),"PASS","FAIL")</f>
        <v/>
      </c>
      <c r="F70">
        <f>IF(OR(E70="NOT FOUND",E70="ERROR"),"FAIL",IF(AND(ISNUMBER(D70),ISNUMBER(E70)),IF(ABS(D70-E70)&lt;0.01,"PASS","FAIL"),IF(D70=E70,"PASS","FAIL")))</f>
        <v/>
      </c>
      <c r="G70" t="inlineStr">
        <is>
          <t>Critical</t>
        </is>
      </c>
    </row>
    <row r="71">
      <c r="A71" t="inlineStr">
        <is>
          <t>RT068</t>
        </is>
      </c>
      <c r="B71" t="inlineStr">
        <is>
          <t>Product</t>
        </is>
      </c>
      <c r="C71" t="inlineStr">
        <is>
          <t>Scorecard lifecycle formula</t>
        </is>
      </c>
      <c r="D71" t="inlineStr">
        <is>
          <t>PASS</t>
        </is>
      </c>
      <c r="E71">
        <f>IF(ISFORMULA(Product_Scorecards!K4),"PASS","FAIL")</f>
        <v/>
      </c>
      <c r="F71">
        <f>IF(OR(E71="NOT FOUND",E71="ERROR"),"FAIL",IF(AND(ISNUMBER(D71),ISNUMBER(E71)),IF(ABS(D71-E71)&lt;0.01,"PASS","FAIL"),IF(D71=E71,"PASS","FAIL")))</f>
        <v/>
      </c>
      <c r="G71" t="inlineStr">
        <is>
          <t>Critical</t>
        </is>
      </c>
    </row>
    <row r="72">
      <c r="A72" t="inlineStr">
        <is>
          <t>RT069</t>
        </is>
      </c>
      <c r="B72" t="inlineStr">
        <is>
          <t>Product</t>
        </is>
      </c>
      <c r="C72" t="inlineStr">
        <is>
          <t>Scorecard profit fixture</t>
        </is>
      </c>
      <c r="D72" t="n">
        <v>117.75</v>
      </c>
      <c r="E72">
        <f>SUMIFS(tblProductScorecards[Profit],tblProductScorecards[Variation ID],"TEST-VAR001")</f>
        <v/>
      </c>
      <c r="F72">
        <f>IF(OR(E72="NOT FOUND",E72="ERROR"),"FAIL",IF(AND(ISNUMBER(D72),ISNUMBER(E72)),IF(ABS(D72-E72)&lt;0.01,"PASS","FAIL"),IF(D72=E72,"PASS","FAIL")))</f>
        <v/>
      </c>
      <c r="G72" t="inlineStr">
        <is>
          <t>Critical</t>
        </is>
      </c>
    </row>
    <row r="73">
      <c r="A73" t="inlineStr">
        <is>
          <t>RT070</t>
        </is>
      </c>
      <c r="B73" t="inlineStr">
        <is>
          <t>Product</t>
        </is>
      </c>
      <c r="C73" t="inlineStr">
        <is>
          <t>Duplicate variation setup check</t>
        </is>
      </c>
      <c r="D73" t="n">
        <v>1</v>
      </c>
      <c r="E73">
        <f>COUNTIFS(tblProductSetup[Variation ID],"TEST-VAR001")</f>
        <v/>
      </c>
      <c r="F73">
        <f>IF(OR(E73="NOT FOUND",E73="ERROR"),"FAIL",IF(AND(ISNUMBER(D73),ISNUMBER(E73)),IF(ABS(D73-E73)&lt;0.01,"PASS","FAIL"),IF(D73=E73,"PASS","FAIL")))</f>
        <v/>
      </c>
      <c r="G73" t="inlineStr">
        <is>
          <t>Critical</t>
        </is>
      </c>
    </row>
    <row r="74">
      <c r="A74" t="inlineStr">
        <is>
          <t>RT071</t>
        </is>
      </c>
      <c r="B74" t="inlineStr">
        <is>
          <t>Market</t>
        </is>
      </c>
      <c r="C74" t="inlineStr">
        <is>
          <t>Attended category</t>
        </is>
      </c>
      <c r="D74" t="inlineStr">
        <is>
          <t>Attended</t>
        </is>
      </c>
      <c r="E74">
        <f>INDEX(tblWeeklyMarkets[Attendance Category],MATCH("TEST-MKT-01",tblWeeklyMarkets[Test Key],0))</f>
        <v/>
      </c>
      <c r="F74">
        <f>IF(OR(E74="NOT FOUND",E74="ERROR"),"FAIL",IF(AND(ISNUMBER(D74),ISNUMBER(E74)),IF(ABS(D74-E74)&lt;0.01,"PASS","FAIL"),IF(D74=E74,"PASS","FAIL")))</f>
        <v/>
      </c>
      <c r="G74" t="inlineStr">
        <is>
          <t>Critical</t>
        </is>
      </c>
    </row>
    <row r="75">
      <c r="A75" t="inlineStr">
        <is>
          <t>RT072</t>
        </is>
      </c>
      <c r="B75" t="inlineStr">
        <is>
          <t>Market</t>
        </is>
      </c>
      <c r="C75" t="inlineStr">
        <is>
          <t>Vacation category</t>
        </is>
      </c>
      <c r="D75" t="inlineStr">
        <is>
          <t>Excluded</t>
        </is>
      </c>
      <c r="E75">
        <f>INDEX(tblWeeklyMarkets[Attendance Category],MATCH("TEST-MKT-02",tblWeeklyMarkets[Test Key],0))</f>
        <v/>
      </c>
      <c r="F75">
        <f>IF(OR(E75="NOT FOUND",E75="ERROR"),"FAIL",IF(AND(ISNUMBER(D75),ISNUMBER(E75)),IF(ABS(D75-E75)&lt;0.01,"PASS","FAIL"),IF(D75=E75,"PASS","FAIL")))</f>
        <v/>
      </c>
      <c r="G75" t="inlineStr">
        <is>
          <t>Critical</t>
        </is>
      </c>
    </row>
    <row r="76">
      <c r="A76" t="inlineStr">
        <is>
          <t>RT073</t>
        </is>
      </c>
      <c r="B76" t="inlineStr">
        <is>
          <t>Market</t>
        </is>
      </c>
      <c r="C76" t="inlineStr">
        <is>
          <t>Market match count</t>
        </is>
      </c>
      <c r="D76" t="n">
        <v>1</v>
      </c>
      <c r="E76">
        <f>SUMIFS(tblWeeklyMarkets[Market Match Count],tblWeeklyMarkets[Test Key],"TEST-MKT-01")</f>
        <v/>
      </c>
      <c r="F76">
        <f>IF(OR(E76="NOT FOUND",E76="ERROR"),"FAIL",IF(AND(ISNUMBER(D76),ISNUMBER(E76)),IF(ABS(D76-E76)&lt;0.01,"PASS","FAIL"),IF(D76=E76,"PASS","FAIL")))</f>
        <v/>
      </c>
      <c r="G76" t="inlineStr">
        <is>
          <t>Critical</t>
        </is>
      </c>
    </row>
    <row r="77">
      <c r="A77" t="inlineStr">
        <is>
          <t>RT074</t>
        </is>
      </c>
      <c r="B77" t="inlineStr">
        <is>
          <t>Market</t>
        </is>
      </c>
      <c r="C77" t="inlineStr">
        <is>
          <t>Market fee fixture</t>
        </is>
      </c>
      <c r="D77" t="n">
        <v>40</v>
      </c>
      <c r="E77">
        <f>SUMIFS(tblWeeklyMarkets[Market Fee],tblWeeklyMarkets[Test Key],"TEST-MKT-01")</f>
        <v/>
      </c>
      <c r="F77">
        <f>IF(OR(E77="NOT FOUND",E77="ERROR"),"FAIL",IF(AND(ISNUMBER(D77),ISNUMBER(E77)),IF(ABS(D77-E77)&lt;0.01,"PASS","FAIL"),IF(D77=E77,"PASS","FAIL")))</f>
        <v/>
      </c>
      <c r="G77" t="inlineStr">
        <is>
          <t>Critical</t>
        </is>
      </c>
    </row>
    <row r="78">
      <c r="A78" t="inlineStr">
        <is>
          <t>RT075</t>
        </is>
      </c>
      <c r="B78" t="inlineStr">
        <is>
          <t>Market</t>
        </is>
      </c>
      <c r="C78" t="inlineStr">
        <is>
          <t>Actual mileage fixture</t>
        </is>
      </c>
      <c r="D78" t="n">
        <v>84</v>
      </c>
      <c r="E78">
        <f>SUMIFS(tblWeeklyMarkets[Actual Miles],tblWeeklyMarkets[Test Key],"TEST-MKT-01")</f>
        <v/>
      </c>
      <c r="F78">
        <f>IF(OR(E78="NOT FOUND",E78="ERROR"),"FAIL",IF(AND(ISNUMBER(D78),ISNUMBER(E78)),IF(ABS(D78-E78)&lt;0.01,"PASS","FAIL"),IF(D78=E78,"PASS","FAIL")))</f>
        <v/>
      </c>
      <c r="G78" t="inlineStr">
        <is>
          <t>Critical</t>
        </is>
      </c>
    </row>
    <row r="79">
      <c r="A79" t="inlineStr">
        <is>
          <t>RT076</t>
        </is>
      </c>
      <c r="B79" t="inlineStr">
        <is>
          <t>Market</t>
        </is>
      </c>
      <c r="C79" t="inlineStr">
        <is>
          <t>Travel cost fixture</t>
        </is>
      </c>
      <c r="D79" t="n">
        <v>56.28</v>
      </c>
      <c r="E79">
        <f>SUMIFS(tblWeeklyMarkets[Travel Cost],tblWeeklyMarkets[Test Key],"TEST-MKT-01")</f>
        <v/>
      </c>
      <c r="F79">
        <f>IF(OR(E79="NOT FOUND",E79="ERROR"),"FAIL",IF(AND(ISNUMBER(D79),ISNUMBER(E79)),IF(ABS(D79-E79)&lt;0.01,"PASS","FAIL"),IF(D79=E79,"PASS","FAIL")))</f>
        <v/>
      </c>
      <c r="G79" t="inlineStr">
        <is>
          <t>Critical</t>
        </is>
      </c>
    </row>
    <row r="80">
      <c r="A80" t="inlineStr">
        <is>
          <t>RT077</t>
        </is>
      </c>
      <c r="B80" t="inlineStr">
        <is>
          <t>Market</t>
        </is>
      </c>
      <c r="C80" t="inlineStr">
        <is>
          <t>Imported sales rows fixture</t>
        </is>
      </c>
      <c r="D80" t="n">
        <v>1</v>
      </c>
      <c r="E80">
        <f>SUMIFS(tblWeeklyMarkets[Imported Sales Rows],tblWeeklyMarkets[Test Key],"TEST-MKT-01")</f>
        <v/>
      </c>
      <c r="F80">
        <f>IF(OR(E80="NOT FOUND",E80="ERROR"),"FAIL",IF(AND(ISNUMBER(D80),ISNUMBER(E80)),IF(ABS(D80-E80)&lt;0.01,"PASS","FAIL"),IF(D80=E80,"PASS","FAIL")))</f>
        <v/>
      </c>
      <c r="G80" t="inlineStr">
        <is>
          <t>Critical</t>
        </is>
      </c>
    </row>
    <row r="81">
      <c r="A81" t="inlineStr">
        <is>
          <t>RT078</t>
        </is>
      </c>
      <c r="B81" t="inlineStr">
        <is>
          <t>Market</t>
        </is>
      </c>
      <c r="C81" t="inlineStr">
        <is>
          <t>Import status fixture</t>
        </is>
      </c>
      <c r="D81" t="inlineStr">
        <is>
          <t>IMPORTED</t>
        </is>
      </c>
      <c r="E81">
        <f>INDEX(tblWeeklyMarkets[Import Status],MATCH("TEST-MKT-01",tblWeeklyMarkets[Test Key],0))</f>
        <v/>
      </c>
      <c r="F81">
        <f>IF(OR(E81="NOT FOUND",E81="ERROR"),"FAIL",IF(AND(ISNUMBER(D81),ISNUMBER(E81)),IF(ABS(D81-E81)&lt;0.01,"PASS","FAIL"),IF(D81=E81,"PASS","FAIL")))</f>
        <v/>
      </c>
      <c r="G81" t="inlineStr">
        <is>
          <t>Critical</t>
        </is>
      </c>
    </row>
    <row r="82">
      <c r="A82" t="inlineStr">
        <is>
          <t>RT079</t>
        </is>
      </c>
      <c r="B82" t="inlineStr">
        <is>
          <t>Market</t>
        </is>
      </c>
      <c r="C82" t="inlineStr">
        <is>
          <t>Vacation import status</t>
        </is>
      </c>
      <c r="D82" t="inlineStr">
        <is>
          <t>EXCLUDED</t>
        </is>
      </c>
      <c r="E82">
        <f>INDEX(tblWeeklyMarkets[Import Status],MATCH("TEST-MKT-02",tblWeeklyMarkets[Test Key],0))</f>
        <v/>
      </c>
      <c r="F82">
        <f>IF(OR(E82="NOT FOUND",E82="ERROR"),"FAIL",IF(AND(ISNUMBER(D82),ISNUMBER(E82)),IF(ABS(D82-E82)&lt;0.01,"PASS","FAIL"),IF(D82=E82,"PASS","FAIL")))</f>
        <v/>
      </c>
      <c r="G82" t="inlineStr">
        <is>
          <t>Critical</t>
        </is>
      </c>
    </row>
    <row r="83">
      <c r="A83" t="inlineStr">
        <is>
          <t>RT080</t>
        </is>
      </c>
      <c r="B83" t="inlineStr">
        <is>
          <t>Market</t>
        </is>
      </c>
      <c r="C83" t="inlineStr">
        <is>
          <t>Market fee validation</t>
        </is>
      </c>
      <c r="D83" t="inlineStr">
        <is>
          <t>OK</t>
        </is>
      </c>
      <c r="E83">
        <f>INDEX(tblMarketMaster[Fee Validation],MATCH("TEST-ORLANDO",tblMarketMaster[Market],0))</f>
        <v/>
      </c>
      <c r="F83">
        <f>IF(OR(E83="NOT FOUND",E83="ERROR"),"FAIL",IF(AND(ISNUMBER(D83),ISNUMBER(E83)),IF(ABS(D83-E83)&lt;0.01,"PASS","FAIL"),IF(D83=E83,"PASS","FAIL")))</f>
        <v/>
      </c>
      <c r="G83" t="inlineStr">
        <is>
          <t>Critical</t>
        </is>
      </c>
    </row>
    <row r="84">
      <c r="A84" t="inlineStr">
        <is>
          <t>RT081</t>
        </is>
      </c>
      <c r="B84" t="inlineStr">
        <is>
          <t>Market</t>
        </is>
      </c>
      <c r="C84" t="inlineStr">
        <is>
          <t>Market overlap count</t>
        </is>
      </c>
      <c r="D84" t="n">
        <v>0</v>
      </c>
      <c r="E84">
        <f>SUMIFS(tblMarketMaster[Overlap Count],tblMarketMaster[Market],"TEST-ORLANDO")</f>
        <v/>
      </c>
      <c r="F84">
        <f>IF(OR(E84="NOT FOUND",E84="ERROR"),"FAIL",IF(AND(ISNUMBER(D84),ISNUMBER(E84)),IF(ABS(D84-E84)&lt;0.01,"PASS","FAIL"),IF(D84=E84,"PASS","FAIL")))</f>
        <v/>
      </c>
      <c r="G84" t="inlineStr">
        <is>
          <t>Critical</t>
        </is>
      </c>
    </row>
    <row r="85">
      <c r="A85" t="inlineStr">
        <is>
          <t>RT082</t>
        </is>
      </c>
      <c r="B85" t="inlineStr">
        <is>
          <t>Market</t>
        </is>
      </c>
      <c r="C85" t="inlineStr">
        <is>
          <t>Market invalid date range blank</t>
        </is>
      </c>
      <c r="E85">
        <f>INDEX(tblMarketMaster[Invalid Date Range],MATCH("TEST-ORLANDO",tblMarketMaster[Market],0))</f>
        <v/>
      </c>
      <c r="F85">
        <f>IF(OR(E85="NOT FOUND",E85="ERROR"),"FAIL",IF(AND(ISNUMBER(D85),ISNUMBER(E85)),IF(ABS(D85-E85)&lt;0.01,"PASS","FAIL"),IF(D85=E85,"PASS","FAIL")))</f>
        <v/>
      </c>
      <c r="G85" t="inlineStr">
        <is>
          <t>Critical</t>
        </is>
      </c>
    </row>
    <row r="86">
      <c r="A86" t="inlineStr">
        <is>
          <t>RT083</t>
        </is>
      </c>
      <c r="B86" t="inlineStr">
        <is>
          <t>Market</t>
        </is>
      </c>
      <c r="C86" t="inlineStr">
        <is>
          <t>Opportunity formula exists</t>
        </is>
      </c>
      <c r="D86" t="inlineStr">
        <is>
          <t>PASS</t>
        </is>
      </c>
      <c r="E86">
        <f>IF(ISFORMULA(Market_Opportunity!F4),"PASS","FAIL")</f>
        <v/>
      </c>
      <c r="F86">
        <f>IF(OR(E86="NOT FOUND",E86="ERROR"),"FAIL",IF(AND(ISNUMBER(D86),ISNUMBER(E86)),IF(ABS(D86-E86)&lt;0.01,"PASS","FAIL"),IF(D86=E86,"PASS","FAIL")))</f>
        <v/>
      </c>
      <c r="G86" t="inlineStr">
        <is>
          <t>Critical</t>
        </is>
      </c>
    </row>
    <row r="87">
      <c r="A87" t="inlineStr">
        <is>
          <t>RT084</t>
        </is>
      </c>
      <c r="B87" t="inlineStr">
        <is>
          <t>Market</t>
        </is>
      </c>
      <c r="C87" t="inlineStr">
        <is>
          <t>Opportunity band formula exists</t>
        </is>
      </c>
      <c r="D87" t="inlineStr">
        <is>
          <t>PASS</t>
        </is>
      </c>
      <c r="E87">
        <f>IF(ISFORMULA(Market_Opportunity!G4),"PASS","FAIL")</f>
        <v/>
      </c>
      <c r="F87">
        <f>IF(OR(E87="NOT FOUND",E87="ERROR"),"FAIL",IF(AND(ISNUMBER(D87),ISNUMBER(E87)),IF(ABS(D87-E87)&lt;0.01,"PASS","FAIL"),IF(D87=E87,"PASS","FAIL")))</f>
        <v/>
      </c>
      <c r="G87" t="inlineStr">
        <is>
          <t>Critical</t>
        </is>
      </c>
    </row>
    <row r="88">
      <c r="A88" t="inlineStr">
        <is>
          <t>RT085</t>
        </is>
      </c>
      <c r="B88" t="inlineStr">
        <is>
          <t>Market</t>
        </is>
      </c>
      <c r="C88" t="inlineStr">
        <is>
          <t>Opportunity action formula exists</t>
        </is>
      </c>
      <c r="D88" t="inlineStr">
        <is>
          <t>PASS</t>
        </is>
      </c>
      <c r="E88">
        <f>IF(ISFORMULA(Market_Opportunity!H4),"PASS","FAIL")</f>
        <v/>
      </c>
      <c r="F88">
        <f>IF(OR(E88="NOT FOUND",E88="ERROR"),"FAIL",IF(AND(ISNUMBER(D88),ISNUMBER(E88)),IF(ABS(D88-E88)&lt;0.01,"PASS","FAIL"),IF(D88=E88,"PASS","FAIL")))</f>
        <v/>
      </c>
      <c r="G88" t="inlineStr">
        <is>
          <t>Critical</t>
        </is>
      </c>
    </row>
    <row r="89">
      <c r="A89" t="inlineStr">
        <is>
          <t>RT086</t>
        </is>
      </c>
      <c r="B89" t="inlineStr">
        <is>
          <t>Market</t>
        </is>
      </c>
      <c r="C89" t="inlineStr">
        <is>
          <t>Opportunity score fixture</t>
        </is>
      </c>
      <c r="D89" t="n">
        <v>78.25</v>
      </c>
      <c r="E89">
        <f>SUMIFS(tblMarketOpportunity[Opportunity Score],tblMarketOpportunity[Market],"TEST-ORLANDO")</f>
        <v/>
      </c>
      <c r="F89">
        <f>IF(OR(E89="NOT FOUND",E89="ERROR"),"FAIL",IF(AND(ISNUMBER(D89),ISNUMBER(E89)),IF(ABS(D89-E89)&lt;0.01,"PASS","FAIL"),IF(D89=E89,"PASS","FAIL")))</f>
        <v/>
      </c>
      <c r="G89" t="inlineStr">
        <is>
          <t>Critical</t>
        </is>
      </c>
    </row>
    <row r="90">
      <c r="A90" t="inlineStr">
        <is>
          <t>RT087</t>
        </is>
      </c>
      <c r="B90" t="inlineStr">
        <is>
          <t>Market</t>
        </is>
      </c>
      <c r="C90" t="inlineStr">
        <is>
          <t>Ranking eligibility formula exists</t>
        </is>
      </c>
      <c r="D90" t="inlineStr">
        <is>
          <t>PASS</t>
        </is>
      </c>
      <c r="E90">
        <f>IF(ISFORMULA(Market_Rankings!C4),"PASS","FAIL")</f>
        <v/>
      </c>
      <c r="F90">
        <f>IF(OR(E90="NOT FOUND",E90="ERROR"),"FAIL",IF(AND(ISNUMBER(D90),ISNUMBER(E90)),IF(ABS(D90-E90)&lt;0.01,"PASS","FAIL"),IF(D90=E90,"PASS","FAIL")))</f>
        <v/>
      </c>
      <c r="G90" t="inlineStr">
        <is>
          <t>Critical</t>
        </is>
      </c>
    </row>
    <row r="91">
      <c r="A91" t="inlineStr">
        <is>
          <t>RT088</t>
        </is>
      </c>
      <c r="B91" t="inlineStr">
        <is>
          <t>Market</t>
        </is>
      </c>
      <c r="C91" t="inlineStr">
        <is>
          <t>Ranking confidence formula exists</t>
        </is>
      </c>
      <c r="D91" t="inlineStr">
        <is>
          <t>PASS</t>
        </is>
      </c>
      <c r="E91">
        <f>IF(ISFORMULA(Market_Rankings!I4),"PASS","FAIL")</f>
        <v/>
      </c>
      <c r="F91">
        <f>IF(OR(E91="NOT FOUND",E91="ERROR"),"FAIL",IF(AND(ISNUMBER(D91),ISNUMBER(E91)),IF(ABS(D91-E91)&lt;0.01,"PASS","FAIL"),IF(D91=E91,"PASS","FAIL")))</f>
        <v/>
      </c>
      <c r="G91" t="inlineStr">
        <is>
          <t>Critical</t>
        </is>
      </c>
    </row>
    <row r="92">
      <c r="A92" t="inlineStr">
        <is>
          <t>RT089</t>
        </is>
      </c>
      <c r="B92" t="inlineStr">
        <is>
          <t>Market</t>
        </is>
      </c>
      <c r="C92" t="inlineStr">
        <is>
          <t>Minimum visit setting</t>
        </is>
      </c>
      <c r="D92" t="n">
        <v>5</v>
      </c>
      <c r="E92">
        <f>MarketRankingMinimumVisits</f>
        <v/>
      </c>
      <c r="F92">
        <f>IF(OR(E92="NOT FOUND",E92="ERROR"),"FAIL",IF(AND(ISNUMBER(D92),ISNUMBER(E92)),IF(ABS(D92-E92)&lt;0.01,"PASS","FAIL"),IF(D92=E92,"PASS","FAIL")))</f>
        <v/>
      </c>
      <c r="G92" t="inlineStr">
        <is>
          <t>Critical</t>
        </is>
      </c>
    </row>
    <row r="93">
      <c r="A93" t="inlineStr">
        <is>
          <t>RT090</t>
        </is>
      </c>
      <c r="B93" t="inlineStr">
        <is>
          <t>Market</t>
        </is>
      </c>
      <c r="C93" t="inlineStr">
        <is>
          <t>Mileage rate setting</t>
        </is>
      </c>
      <c r="D93" t="n">
        <v>0.67</v>
      </c>
      <c r="E93">
        <f>MileageRate</f>
        <v/>
      </c>
      <c r="F93">
        <f>IF(OR(E93="NOT FOUND",E93="ERROR"),"FAIL",IF(AND(ISNUMBER(D93),ISNUMBER(E93)),IF(ABS(D93-E93)&lt;0.01,"PASS","FAIL"),IF(D93=E93,"PASS","FAIL")))</f>
        <v/>
      </c>
      <c r="G93" t="inlineStr">
        <is>
          <t>Critical</t>
        </is>
      </c>
    </row>
    <row r="94">
      <c r="A94" t="inlineStr">
        <is>
          <t>RT091</t>
        </is>
      </c>
      <c r="B94" t="inlineStr">
        <is>
          <t>Governance</t>
        </is>
      </c>
      <c r="C94" t="inlineStr">
        <is>
          <t>Regression test count</t>
        </is>
      </c>
      <c r="D94" t="n">
        <v>110</v>
      </c>
      <c r="E94">
        <f>ROWS(tblRegressionTests[Test ID])</f>
        <v/>
      </c>
      <c r="F94">
        <f>IF(OR(E94="NOT FOUND",E94="ERROR"),"FAIL",IF(AND(ISNUMBER(D94),ISNUMBER(E94)),IF(ABS(D94-E94)&lt;0.01,"PASS","FAIL"),IF(D94=E94,"PASS","FAIL")))</f>
        <v/>
      </c>
      <c r="G94" t="inlineStr">
        <is>
          <t>Critical</t>
        </is>
      </c>
    </row>
    <row r="95">
      <c r="A95" t="inlineStr">
        <is>
          <t>RT092</t>
        </is>
      </c>
      <c r="B95" t="inlineStr">
        <is>
          <t>Governance</t>
        </is>
      </c>
      <c r="C95" t="inlineStr">
        <is>
          <t>Data dictionary table populated</t>
        </is>
      </c>
      <c r="D95" t="inlineStr">
        <is>
          <t>PASS</t>
        </is>
      </c>
      <c r="E95">
        <f>IF(ROWS(tblDataDictionary[Table])&gt;0,"PASS","FAIL")</f>
        <v/>
      </c>
      <c r="F95">
        <f>IF(OR(E95="NOT FOUND",E95="ERROR"),"FAIL",IF(AND(ISNUMBER(D95),ISNUMBER(E95)),IF(ABS(D95-E95)&lt;0.01,"PASS","FAIL"),IF(D95=E95,"PASS","FAIL")))</f>
        <v/>
      </c>
      <c r="G95" t="inlineStr">
        <is>
          <t>Critical</t>
        </is>
      </c>
    </row>
    <row r="96">
      <c r="A96" t="inlineStr">
        <is>
          <t>RT093</t>
        </is>
      </c>
      <c r="B96" t="inlineStr">
        <is>
          <t>Governance</t>
        </is>
      </c>
      <c r="C96" t="inlineStr">
        <is>
          <t>Settings table populated</t>
        </is>
      </c>
      <c r="D96" t="inlineStr">
        <is>
          <t>PASS</t>
        </is>
      </c>
      <c r="E96">
        <f>IF(ROWS(tblSettings[Setting])&gt;=6,"PASS","FAIL")</f>
        <v/>
      </c>
      <c r="F96">
        <f>IF(OR(E96="NOT FOUND",E96="ERROR"),"FAIL",IF(AND(ISNUMBER(D96),ISNUMBER(E96)),IF(ABS(D96-E96)&lt;0.01,"PASS","FAIL"),IF(D96=E96,"PASS","FAIL")))</f>
        <v/>
      </c>
      <c r="G96" t="inlineStr">
        <is>
          <t>Critical</t>
        </is>
      </c>
    </row>
    <row r="97">
      <c r="A97" t="inlineStr">
        <is>
          <t>RT094</t>
        </is>
      </c>
      <c r="B97" t="inlineStr">
        <is>
          <t>Governance</t>
        </is>
      </c>
      <c r="C97" t="inlineStr">
        <is>
          <t>Version table populated</t>
        </is>
      </c>
      <c r="D97" t="inlineStr">
        <is>
          <t>PASS</t>
        </is>
      </c>
      <c r="E97">
        <f>IF(ROWS(tblWorkbookVersion[Version])&gt;=1,"PASS","FAIL")</f>
        <v/>
      </c>
      <c r="F97">
        <f>IF(OR(E97="NOT FOUND",E97="ERROR"),"FAIL",IF(AND(ISNUMBER(D97),ISNUMBER(E97)),IF(ABS(D97-E97)&lt;0.01,"PASS","FAIL"),IF(D97=E97,"PASS","FAIL")))</f>
        <v/>
      </c>
      <c r="G97" t="inlineStr">
        <is>
          <t>Critical</t>
        </is>
      </c>
    </row>
    <row r="98">
      <c r="A98" t="inlineStr">
        <is>
          <t>RT095</t>
        </is>
      </c>
      <c r="B98" t="inlineStr">
        <is>
          <t>Governance</t>
        </is>
      </c>
      <c r="C98" t="inlineStr">
        <is>
          <t>Error log table populated</t>
        </is>
      </c>
      <c r="D98" t="inlineStr">
        <is>
          <t>PASS</t>
        </is>
      </c>
      <c r="E98">
        <f>IF(ROWS(tblErrorLog[Error Type])&gt;=1,"PASS","FAIL")</f>
        <v/>
      </c>
      <c r="F98">
        <f>IF(OR(E98="NOT FOUND",E98="ERROR"),"FAIL",IF(AND(ISNUMBER(D98),ISNUMBER(E98)),IF(ABS(D98-E98)&lt;0.01,"PASS","FAIL"),IF(D98=E98,"PASS","FAIL")))</f>
        <v/>
      </c>
      <c r="G98" t="inlineStr">
        <is>
          <t>Critical</t>
        </is>
      </c>
    </row>
    <row r="99">
      <c r="A99" t="inlineStr">
        <is>
          <t>RT096</t>
        </is>
      </c>
      <c r="B99" t="inlineStr">
        <is>
          <t>Governance</t>
        </is>
      </c>
      <c r="C99" t="inlineStr">
        <is>
          <t>Import log table exists</t>
        </is>
      </c>
      <c r="D99" t="inlineStr">
        <is>
          <t>PASS</t>
        </is>
      </c>
      <c r="E99">
        <f>IF(ROWS(tblImportLog[Status])&gt;=1,"PASS","FAIL")</f>
        <v/>
      </c>
      <c r="F99">
        <f>IF(OR(E99="NOT FOUND",E99="ERROR"),"FAIL",IF(AND(ISNUMBER(D99),ISNUMBER(E99)),IF(ABS(D99-E99)&lt;0.01,"PASS","FAIL"),IF(D99=E99,"PASS","FAIL")))</f>
        <v/>
      </c>
      <c r="G99" t="inlineStr">
        <is>
          <t>Critical</t>
        </is>
      </c>
    </row>
    <row r="100">
      <c r="A100" t="inlineStr">
        <is>
          <t>RT097</t>
        </is>
      </c>
      <c r="B100" t="inlineStr">
        <is>
          <t>Governance</t>
        </is>
      </c>
      <c r="C100" t="inlineStr">
        <is>
          <t>Query architecture has 8 rows</t>
        </is>
      </c>
      <c r="D100" t="n">
        <v>8</v>
      </c>
      <c r="E100">
        <f>ROWS(tblQueryArchitecture[Query Name])</f>
        <v/>
      </c>
      <c r="F100">
        <f>IF(OR(E100="NOT FOUND",E100="ERROR"),"FAIL",IF(AND(ISNUMBER(D100),ISNUMBER(E100)),IF(ABS(D100-E100)&lt;0.01,"PASS","FAIL"),IF(D100=E100,"PASS","FAIL")))</f>
        <v/>
      </c>
      <c r="G100" t="inlineStr">
        <is>
          <t>Critical</t>
        </is>
      </c>
    </row>
    <row r="101">
      <c r="A101" t="inlineStr">
        <is>
          <t>RT098</t>
        </is>
      </c>
      <c r="B101" t="inlineStr">
        <is>
          <t>Governance</t>
        </is>
      </c>
      <c r="C101" t="inlineStr">
        <is>
          <t>Product master has variation IDs</t>
        </is>
      </c>
      <c r="D101" t="inlineStr">
        <is>
          <t>PASS</t>
        </is>
      </c>
      <c r="E101">
        <f>IF(COUNTBLANK(tblProductMaster[Variation ID])=0,"PASS","FAIL")</f>
        <v/>
      </c>
      <c r="F101">
        <f>IF(OR(E101="NOT FOUND",E101="ERROR"),"FAIL",IF(AND(ISNUMBER(D101),ISNUMBER(E101)),IF(ABS(D101-E101)&lt;0.01,"PASS","FAIL"),IF(D101=E101,"PASS","FAIL")))</f>
        <v/>
      </c>
      <c r="G101" t="inlineStr">
        <is>
          <t>Critical</t>
        </is>
      </c>
    </row>
    <row r="102">
      <c r="A102" t="inlineStr">
        <is>
          <t>RT099</t>
        </is>
      </c>
      <c r="B102" t="inlineStr">
        <is>
          <t>Governance</t>
        </is>
      </c>
      <c r="C102" t="inlineStr">
        <is>
          <t>Market master has required fee</t>
        </is>
      </c>
      <c r="D102" t="inlineStr">
        <is>
          <t>PASS</t>
        </is>
      </c>
      <c r="E102">
        <f>IF(COUNTIF(tblMarketMaster[Fee Validation],"&lt;&gt;OK")=0,"PASS","FAIL")</f>
        <v/>
      </c>
      <c r="F102">
        <f>IF(OR(E102="NOT FOUND",E102="ERROR"),"FAIL",IF(AND(ISNUMBER(D102),ISNUMBER(E102)),IF(ABS(D102-E102)&lt;0.01,"PASS","FAIL"),IF(D102=E102,"PASS","FAIL")))</f>
        <v/>
      </c>
      <c r="G102" t="inlineStr">
        <is>
          <t>Critical</t>
        </is>
      </c>
    </row>
    <row r="103">
      <c r="A103" t="inlineStr">
        <is>
          <t>RT100</t>
        </is>
      </c>
      <c r="B103" t="inlineStr">
        <is>
          <t>Governance</t>
        </is>
      </c>
      <c r="C103" t="inlineStr">
        <is>
          <t>Test mode setting valid</t>
        </is>
      </c>
      <c r="D103" t="inlineStr">
        <is>
          <t>PASS</t>
        </is>
      </c>
      <c r="E103">
        <f>IF(OR(TestingMode="Yes",TestingMode="No"),"PASS","FAIL")</f>
        <v/>
      </c>
      <c r="F103">
        <f>IF(OR(E103="NOT FOUND",E103="ERROR"),"FAIL",IF(AND(ISNUMBER(D103),ISNUMBER(E103)),IF(ABS(D103-E103)&lt;0.01,"PASS","FAIL"),IF(D103=E103,"PASS","FAIL")))</f>
        <v/>
      </c>
      <c r="G103" t="inlineStr">
        <is>
          <t>Critical</t>
        </is>
      </c>
    </row>
    <row r="104">
      <c r="A104" t="inlineStr">
        <is>
          <t>RT101</t>
        </is>
      </c>
      <c r="B104" t="inlineStr">
        <is>
          <t>Governance</t>
        </is>
      </c>
      <c r="C104" t="inlineStr">
        <is>
          <t>Release certification rows</t>
        </is>
      </c>
      <c r="D104" t="n">
        <v>6</v>
      </c>
      <c r="E104">
        <f>ROWS(tblReleaseCertification[Control])</f>
        <v/>
      </c>
      <c r="F104">
        <f>IF(OR(E104="NOT FOUND",E104="ERROR"),"FAIL",IF(AND(ISNUMBER(D104),ISNUMBER(E104)),IF(ABS(D104-E104)&lt;0.01,"PASS","FAIL"),IF(D104=E104,"PASS","FAIL")))</f>
        <v/>
      </c>
      <c r="G104" t="inlineStr">
        <is>
          <t>Critical</t>
        </is>
      </c>
    </row>
    <row r="105">
      <c r="A105" t="inlineStr">
        <is>
          <t>RT102</t>
        </is>
      </c>
      <c r="B105" t="inlineStr">
        <is>
          <t>Governance</t>
        </is>
      </c>
      <c r="C105" t="inlineStr">
        <is>
          <t>Data quality rows</t>
        </is>
      </c>
      <c r="D105" t="n">
        <v>4</v>
      </c>
      <c r="E105">
        <f>ROWS(tblDataQuality[Quality Area])</f>
        <v/>
      </c>
      <c r="F105">
        <f>IF(OR(E105="NOT FOUND",E105="ERROR"),"FAIL",IF(AND(ISNUMBER(D105),ISNUMBER(E105)),IF(ABS(D105-E105)&lt;0.01,"PASS","FAIL"),IF(D105=E105,"PASS","FAIL")))</f>
        <v/>
      </c>
      <c r="G105" t="inlineStr">
        <is>
          <t>Critical</t>
        </is>
      </c>
    </row>
    <row r="106">
      <c r="A106" t="inlineStr">
        <is>
          <t>RT103</t>
        </is>
      </c>
      <c r="B106" t="inlineStr">
        <is>
          <t>Governance</t>
        </is>
      </c>
      <c r="C106" t="inlineStr">
        <is>
          <t>Forecasting rows</t>
        </is>
      </c>
      <c r="D106" t="n">
        <v>2</v>
      </c>
      <c r="E106">
        <f>ROWS(tblForecasting[Metric])</f>
        <v/>
      </c>
      <c r="F106">
        <f>IF(OR(E106="NOT FOUND",E106="ERROR"),"FAIL",IF(AND(ISNUMBER(D106),ISNUMBER(E106)),IF(ABS(D106-E106)&lt;0.01,"PASS","FAIL"),IF(D106=E106,"PASS","FAIL")))</f>
        <v/>
      </c>
      <c r="G106" t="inlineStr">
        <is>
          <t>Critical</t>
        </is>
      </c>
    </row>
    <row r="107">
      <c r="A107" t="inlineStr">
        <is>
          <t>RT104</t>
        </is>
      </c>
      <c r="B107" t="inlineStr">
        <is>
          <t>Governance</t>
        </is>
      </c>
      <c r="C107" t="inlineStr">
        <is>
          <t>Product scorecard rows</t>
        </is>
      </c>
      <c r="D107" t="n">
        <v>1</v>
      </c>
      <c r="E107">
        <f>ROWS(tblProductScorecards[Variation ID])</f>
        <v/>
      </c>
      <c r="F107">
        <f>IF(OR(E107="NOT FOUND",E107="ERROR"),"FAIL",IF(AND(ISNUMBER(D107),ISNUMBER(E107)),IF(ABS(D107-E107)&lt;0.01,"PASS","FAIL"),IF(D107=E107,"PASS","FAIL")))</f>
        <v/>
      </c>
      <c r="G107" t="inlineStr">
        <is>
          <t>Critical</t>
        </is>
      </c>
    </row>
    <row r="108">
      <c r="A108" t="inlineStr">
        <is>
          <t>RT105</t>
        </is>
      </c>
      <c r="B108" t="inlineStr">
        <is>
          <t>Governance</t>
        </is>
      </c>
      <c r="C108" t="inlineStr">
        <is>
          <t>Market opportunity rows</t>
        </is>
      </c>
      <c r="D108" t="n">
        <v>1</v>
      </c>
      <c r="E108">
        <f>ROWS(tblMarketOpportunity[Market])</f>
        <v/>
      </c>
      <c r="F108">
        <f>IF(OR(E108="NOT FOUND",E108="ERROR"),"FAIL",IF(AND(ISNUMBER(D108),ISNUMBER(E108)),IF(ABS(D108-E108)&lt;0.01,"PASS","FAIL"),IF(D108=E108,"PASS","FAIL")))</f>
        <v/>
      </c>
      <c r="G108" t="inlineStr">
        <is>
          <t>Critical</t>
        </is>
      </c>
    </row>
    <row r="109">
      <c r="A109" t="inlineStr">
        <is>
          <t>RT106</t>
        </is>
      </c>
      <c r="B109" t="inlineStr">
        <is>
          <t>Governance</t>
        </is>
      </c>
      <c r="C109" t="inlineStr">
        <is>
          <t>Reorder engine rows</t>
        </is>
      </c>
      <c r="D109" t="n">
        <v>1</v>
      </c>
      <c r="E109">
        <f>ROWS(tblReorderEngine[Ingredient])</f>
        <v/>
      </c>
      <c r="F109">
        <f>IF(OR(E109="NOT FOUND",E109="ERROR"),"FAIL",IF(AND(ISNUMBER(D109),ISNUMBER(E109)),IF(ABS(D109-E109)&lt;0.01,"PASS","FAIL"),IF(D109=E109,"PASS","FAIL")))</f>
        <v/>
      </c>
      <c r="G109" t="inlineStr">
        <is>
          <t>Critical</t>
        </is>
      </c>
    </row>
    <row r="110">
      <c r="A110" t="inlineStr">
        <is>
          <t>RT107</t>
        </is>
      </c>
      <c r="B110" t="inlineStr">
        <is>
          <t>Governance</t>
        </is>
      </c>
      <c r="C110" t="inlineStr">
        <is>
          <t>Inventory valuation rows</t>
        </is>
      </c>
      <c r="D110" t="n">
        <v>1</v>
      </c>
      <c r="E110">
        <f>ROWS(tblInventoryValuation[Variation ID])</f>
        <v/>
      </c>
      <c r="F110">
        <f>IF(OR(E110="NOT FOUND",E110="ERROR"),"FAIL",IF(AND(ISNUMBER(D110),ISNUMBER(E110)),IF(ABS(D110-E110)&lt;0.01,"PASS","FAIL"),IF(D110=E110,"PASS","FAIL")))</f>
        <v/>
      </c>
      <c r="G110" t="inlineStr">
        <is>
          <t>Critical</t>
        </is>
      </c>
    </row>
    <row r="111">
      <c r="A111" t="inlineStr">
        <is>
          <t>RT108</t>
        </is>
      </c>
      <c r="B111" t="inlineStr">
        <is>
          <t>Governance</t>
        </is>
      </c>
      <c r="C111" t="inlineStr">
        <is>
          <t>Release readiness formula</t>
        </is>
      </c>
      <c r="D111" t="inlineStr">
        <is>
          <t>PASS</t>
        </is>
      </c>
      <c r="E111">
        <f>IF(ISFORMULA(Release_Readiness!B10),"PASS","FAIL")</f>
        <v/>
      </c>
      <c r="F111">
        <f>IF(OR(E111="NOT FOUND",E111="ERROR"),"FAIL",IF(AND(ISNUMBER(D111),ISNUMBER(E111)),IF(ABS(D111-E111)&lt;0.01,"PASS","FAIL"),IF(D111=E111,"PASS","FAIL")))</f>
        <v/>
      </c>
      <c r="G111" t="inlineStr">
        <is>
          <t>Critical</t>
        </is>
      </c>
    </row>
    <row r="112">
      <c r="A112" t="inlineStr">
        <is>
          <t>RT109</t>
        </is>
      </c>
      <c r="B112" t="inlineStr">
        <is>
          <t>Governance</t>
        </is>
      </c>
      <c r="C112" t="inlineStr">
        <is>
          <t>Testing release formula</t>
        </is>
      </c>
      <c r="D112" t="inlineStr">
        <is>
          <t>PASS</t>
        </is>
      </c>
      <c r="E112">
        <f>IF(ISFORMULA(TESTING!K3),"PASS","FAIL")</f>
        <v/>
      </c>
      <c r="F112">
        <f>IF(OR(E112="NOT FOUND",E112="ERROR"),"FAIL",IF(AND(ISNUMBER(D112),ISNUMBER(E112)),IF(ABS(D112-E112)&lt;0.01,"PASS","FAIL"),IF(D112=E112,"PASS","FAIL")))</f>
        <v/>
      </c>
      <c r="G112" t="inlineStr">
        <is>
          <t>Critical</t>
        </is>
      </c>
    </row>
    <row r="113">
      <c r="A113" t="inlineStr">
        <is>
          <t>RT110</t>
        </is>
      </c>
      <c r="B113" t="inlineStr">
        <is>
          <t>Governance</t>
        </is>
      </c>
      <c r="C113" t="inlineStr">
        <is>
          <t>Workbook version equals 1.0</t>
        </is>
      </c>
      <c r="D113" t="inlineStr">
        <is>
          <t>1.0</t>
        </is>
      </c>
      <c r="E113">
        <f>WorkbookVersion</f>
        <v/>
      </c>
      <c r="F113">
        <f>IF(OR(E113="NOT FOUND",E113="ERROR"),"FAIL",IF(AND(ISNUMBER(D113),ISNUMBER(E113)),IF(ABS(D113-E113)&lt;0.01,"PASS","FAIL"),IF(D113=E113,"PASS","FAIL")))</f>
        <v/>
      </c>
      <c r="G113" t="inlineStr">
        <is>
          <t>Critical</t>
        </is>
      </c>
    </row>
  </sheetData>
  <mergeCells count="1">
    <mergeCell ref="A1:H1"/>
  </mergeCells>
  <conditionalFormatting sqref="F4:F113">
    <cfRule type="expression" priority="1" dxfId="3">
      <formula>$F4="PASS"</formula>
    </cfRule>
    <cfRule type="expression" priority="2" dxfId="4">
      <formula>$F4="FAIL"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style="7" min="1" max="1"/>
    <col width="18" customWidth="1" style="7" min="2" max="2"/>
    <col width="18" customWidth="1" style="7" min="4" max="4"/>
    <col width="12" customWidth="1" style="7" min="5" max="5"/>
    <col width="12" customWidth="1" style="7" min="6" max="6"/>
  </cols>
  <sheetData>
    <row r="1">
      <c r="A1" s="1" t="inlineStr">
        <is>
          <t>Regression Test Dashboard</t>
        </is>
      </c>
    </row>
    <row r="3">
      <c r="D3" s="31" t="inlineStr">
        <is>
          <t>Category</t>
        </is>
      </c>
      <c r="E3" s="31" t="inlineStr">
        <is>
          <t>Tests</t>
        </is>
      </c>
      <c r="F3" s="31" t="inlineStr">
        <is>
          <t>Failed</t>
        </is>
      </c>
    </row>
    <row r="4">
      <c r="A4" t="inlineStr">
        <is>
          <t>Total Tests</t>
        </is>
      </c>
      <c r="B4">
        <f>ROWS(tblRegressionTests[Test ID])</f>
        <v/>
      </c>
      <c r="D4" t="inlineStr">
        <is>
          <t>Dashboard</t>
        </is>
      </c>
      <c r="E4">
        <f>COUNTIF(tblRegressionTests[Category],D4)</f>
        <v/>
      </c>
      <c r="F4">
        <f>COUNTIFS(tblRegressionTests[Category],D4,tblRegressionTests[Status],"FAIL")</f>
        <v/>
      </c>
    </row>
    <row r="5">
      <c r="A5" t="inlineStr">
        <is>
          <t>Passed</t>
        </is>
      </c>
      <c r="B5">
        <f>COUNTIF(tblRegressionTests[Status],"PASS")</f>
        <v/>
      </c>
      <c r="D5" t="inlineStr">
        <is>
          <t>Inventory</t>
        </is>
      </c>
      <c r="E5">
        <f>COUNTIF(tblRegressionTests[Category],D5)</f>
        <v/>
      </c>
      <c r="F5">
        <f>COUNTIFS(tblRegressionTests[Category],D5,tblRegressionTests[Status],"FAIL")</f>
        <v/>
      </c>
    </row>
    <row r="6">
      <c r="A6" t="inlineStr">
        <is>
          <t>Failed</t>
        </is>
      </c>
      <c r="B6">
        <f>COUNTIF(tblRegressionTests[Status],"FAIL")</f>
        <v/>
      </c>
      <c r="D6" t="inlineStr">
        <is>
          <t>Product</t>
        </is>
      </c>
      <c r="E6">
        <f>COUNTIF(tblRegressionTests[Category],D6)</f>
        <v/>
      </c>
      <c r="F6">
        <f>COUNTIFS(tblRegressionTests[Category],D6,tblRegressionTests[Status],"FAIL")</f>
        <v/>
      </c>
    </row>
    <row r="7">
      <c r="A7" t="inlineStr">
        <is>
          <t>Pass Rate</t>
        </is>
      </c>
      <c r="B7" s="37">
        <f>IFERROR(B5/B4,0)</f>
        <v/>
      </c>
      <c r="D7" t="inlineStr">
        <is>
          <t>Market</t>
        </is>
      </c>
      <c r="E7">
        <f>COUNTIF(tblRegressionTests[Category],D7)</f>
        <v/>
      </c>
      <c r="F7">
        <f>COUNTIFS(tblRegressionTests[Category],D7,tblRegressionTests[Status],"FAIL")</f>
        <v/>
      </c>
    </row>
    <row r="8">
      <c r="A8" t="inlineStr">
        <is>
          <t>Release Gate</t>
        </is>
      </c>
      <c r="B8">
        <f>IF(B6=0,"PASS","BLOCKED")</f>
        <v/>
      </c>
      <c r="D8" t="inlineStr">
        <is>
          <t>Governance</t>
        </is>
      </c>
      <c r="E8">
        <f>COUNTIF(tblRegressionTests[Category],D8)</f>
        <v/>
      </c>
      <c r="F8">
        <f>COUNTIFS(tblRegressionTests[Category],D8,tblRegressionTests[Status],"FAIL")</f>
        <v/>
      </c>
    </row>
  </sheetData>
  <mergeCells count="1">
    <mergeCell ref="A1:F1"/>
  </mergeCells>
  <conditionalFormatting sqref="B8">
    <cfRule type="expression" priority="1" dxfId="3">
      <formula>$B$8="PASS"</formula>
    </cfRule>
    <cfRule type="expression" priority="2" dxfId="4">
      <formula>$B$8="BLOCKED"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M365 Copilot</dc:creator>
  <dcterms:created xsi:type="dcterms:W3CDTF">2026-09-25T19:14:03.5834103Z</dcterms:created>
  <dcterms:modified xsi:type="dcterms:W3CDTF">2026-09-25T19:14:03.5834103Z</dcterms:modified>
  <lastModifiedBy>M365 Copilot</lastModifiedBy>
</coreProperties>
</file>